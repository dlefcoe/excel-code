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edhedge-my.sharepoint.com/personal/darren_redhedge_uk/Documents/excel/example/"/>
    </mc:Choice>
  </mc:AlternateContent>
  <xr:revisionPtr revIDLastSave="1202" documentId="8_{C0FC0A79-28E2-450B-9055-C573F45955E0}" xr6:coauthVersionLast="45" xr6:coauthVersionMax="45" xr10:uidLastSave="{7482CA46-21A7-4A11-984F-BA95665E58FD}"/>
  <bookViews>
    <workbookView xWindow="-110" yWindow="-110" windowWidth="38620" windowHeight="21220" activeTab="1" xr2:uid="{BBE455E3-4AFF-42EC-BCE1-2F4098E4A390}"/>
  </bookViews>
  <sheets>
    <sheet name="comment" sheetId="3" r:id="rId1"/>
    <sheet name="examples of function" sheetId="1" r:id="rId2"/>
    <sheet name="historic data" sheetId="2" r:id="rId3"/>
  </sheets>
  <functionGroups builtInGroupCount="19"/>
  <definedNames>
    <definedName name="historic_data">'historic data'!$G$2:$JC$51</definedName>
    <definedName name="isin_list">'historic data'!$A$2:$A$51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9" i="1" l="1"/>
  <c r="G43" i="2"/>
  <c r="G20" i="2"/>
  <c r="G8" i="2"/>
  <c r="G32" i="2"/>
  <c r="G18" i="2"/>
  <c r="G25" i="2"/>
  <c r="G12" i="2"/>
  <c r="G45" i="2"/>
  <c r="G31" i="2"/>
  <c r="G16" i="2"/>
  <c r="G28" i="2"/>
  <c r="G34" i="2"/>
  <c r="G23" i="2"/>
  <c r="G14" i="2"/>
  <c r="G27" i="2"/>
  <c r="G19" i="2"/>
  <c r="G11" i="2"/>
  <c r="G26" i="2"/>
  <c r="G29" i="2"/>
  <c r="G10" i="2"/>
  <c r="G40" i="2"/>
  <c r="G13" i="2"/>
  <c r="G42" i="2"/>
  <c r="G24" i="2"/>
  <c r="G5" i="2"/>
  <c r="G15" i="2"/>
  <c r="G41" i="2"/>
  <c r="G7" i="2"/>
  <c r="G6" i="2"/>
  <c r="G30" i="2"/>
  <c r="G35" i="2"/>
  <c r="G33" i="2"/>
  <c r="G17" i="2"/>
  <c r="G22" i="2"/>
  <c r="G9" i="2"/>
  <c r="G21" i="2"/>
  <c r="B59" i="1" l="1"/>
  <c r="C51" i="1"/>
  <c r="B51" i="1"/>
  <c r="JC38" i="2"/>
  <c r="JB38" i="2"/>
  <c r="JA38" i="2"/>
  <c r="IZ38" i="2"/>
  <c r="IY38" i="2"/>
  <c r="IX38" i="2"/>
  <c r="IW38" i="2"/>
  <c r="IV38" i="2"/>
  <c r="IU38" i="2"/>
  <c r="IT38" i="2"/>
  <c r="IS38" i="2"/>
  <c r="IR38" i="2"/>
  <c r="IQ38" i="2"/>
  <c r="IP38" i="2"/>
  <c r="IO38" i="2"/>
  <c r="IN38" i="2"/>
  <c r="IM38" i="2"/>
  <c r="IL38" i="2"/>
  <c r="IK38" i="2"/>
  <c r="IJ38" i="2"/>
  <c r="II38" i="2"/>
  <c r="IH38" i="2"/>
  <c r="IG38" i="2"/>
  <c r="IF38" i="2"/>
  <c r="IE38" i="2"/>
  <c r="ID38" i="2"/>
  <c r="IC38" i="2"/>
  <c r="IB38" i="2"/>
  <c r="IA38" i="2"/>
  <c r="HZ38" i="2"/>
  <c r="HY38" i="2"/>
  <c r="HX38" i="2"/>
  <c r="HW38" i="2"/>
  <c r="HV38" i="2"/>
  <c r="HU38" i="2"/>
  <c r="HT38" i="2"/>
  <c r="HS38" i="2"/>
  <c r="HR38" i="2"/>
  <c r="HQ38" i="2"/>
  <c r="HP38" i="2"/>
  <c r="HO38" i="2"/>
  <c r="HN38" i="2"/>
  <c r="HM38" i="2"/>
  <c r="HL38" i="2"/>
  <c r="HK38" i="2"/>
  <c r="HJ38" i="2"/>
  <c r="HI38" i="2"/>
  <c r="HH38" i="2"/>
  <c r="HG38" i="2"/>
  <c r="HF38" i="2"/>
  <c r="HE38" i="2"/>
  <c r="HD38" i="2"/>
  <c r="HC38" i="2"/>
  <c r="HB38" i="2"/>
  <c r="HA38" i="2"/>
  <c r="GZ38" i="2"/>
  <c r="GY38" i="2"/>
  <c r="GX38" i="2"/>
  <c r="GW38" i="2"/>
  <c r="GV38" i="2"/>
  <c r="GU38" i="2"/>
  <c r="GT38" i="2"/>
  <c r="GS38" i="2"/>
  <c r="GR38" i="2"/>
  <c r="GQ38" i="2"/>
  <c r="GP38" i="2"/>
  <c r="GO38" i="2"/>
  <c r="GN38" i="2"/>
  <c r="GM38" i="2"/>
  <c r="GL38" i="2"/>
  <c r="GK38" i="2"/>
  <c r="GJ38" i="2"/>
  <c r="GI38" i="2"/>
  <c r="GH38" i="2"/>
  <c r="GG38" i="2"/>
  <c r="GF38" i="2"/>
  <c r="GE38" i="2"/>
  <c r="GD38" i="2"/>
  <c r="GC38" i="2"/>
  <c r="GB38" i="2"/>
  <c r="GA38" i="2"/>
  <c r="FZ38" i="2"/>
  <c r="FY38" i="2"/>
  <c r="FX38" i="2"/>
  <c r="FW38" i="2"/>
  <c r="FV38" i="2"/>
  <c r="FU38" i="2"/>
  <c r="FT38" i="2"/>
  <c r="FS38" i="2"/>
  <c r="FR38" i="2"/>
  <c r="FQ38" i="2"/>
  <c r="FP38" i="2"/>
  <c r="FO38" i="2"/>
  <c r="FN38" i="2"/>
  <c r="FM38" i="2"/>
  <c r="FL38" i="2"/>
  <c r="FK38" i="2"/>
  <c r="FJ38" i="2"/>
  <c r="FI38" i="2"/>
  <c r="FH38" i="2"/>
  <c r="FG38" i="2"/>
  <c r="FF38" i="2"/>
  <c r="FE38" i="2"/>
  <c r="FD38" i="2"/>
  <c r="FC38" i="2"/>
  <c r="FB38" i="2"/>
  <c r="FA38" i="2"/>
  <c r="EZ38" i="2"/>
  <c r="EY38" i="2"/>
  <c r="EX38" i="2"/>
  <c r="EW38" i="2"/>
  <c r="EV38" i="2"/>
  <c r="EU38" i="2"/>
  <c r="ET38" i="2"/>
  <c r="ES38" i="2"/>
  <c r="ER38" i="2"/>
  <c r="EQ38" i="2"/>
  <c r="EP38" i="2"/>
  <c r="EO38" i="2"/>
  <c r="EN38" i="2"/>
  <c r="EM38" i="2"/>
  <c r="EL38" i="2"/>
  <c r="EK38" i="2"/>
  <c r="EJ38" i="2"/>
  <c r="EI38" i="2"/>
  <c r="EH38" i="2"/>
  <c r="EG38" i="2"/>
  <c r="EF38" i="2"/>
  <c r="EE38" i="2"/>
  <c r="ED38" i="2"/>
  <c r="EC38" i="2"/>
  <c r="EB38" i="2"/>
  <c r="EA38" i="2"/>
  <c r="DZ38" i="2"/>
  <c r="DY38" i="2"/>
  <c r="DX38" i="2"/>
  <c r="DW38" i="2"/>
  <c r="DV38" i="2"/>
  <c r="DU38" i="2"/>
  <c r="DT38" i="2"/>
  <c r="DS38" i="2"/>
  <c r="DR38" i="2"/>
  <c r="DQ38" i="2"/>
  <c r="DP38" i="2"/>
  <c r="DO38" i="2"/>
  <c r="DN38" i="2"/>
  <c r="DM38" i="2"/>
  <c r="DL38" i="2"/>
  <c r="DK38" i="2"/>
  <c r="DJ38" i="2"/>
  <c r="DI38" i="2"/>
  <c r="DH38" i="2"/>
  <c r="DG38" i="2"/>
  <c r="DF38" i="2"/>
  <c r="DE38" i="2"/>
  <c r="DD38" i="2"/>
  <c r="DC38" i="2"/>
  <c r="DB38" i="2"/>
  <c r="DA38" i="2"/>
  <c r="CZ38" i="2"/>
  <c r="CY38" i="2"/>
  <c r="CX38" i="2"/>
  <c r="CW38" i="2"/>
  <c r="CV38" i="2"/>
  <c r="CU38" i="2"/>
  <c r="CT38" i="2"/>
  <c r="CS38" i="2"/>
  <c r="CR38" i="2"/>
  <c r="CQ38" i="2"/>
  <c r="CP38" i="2"/>
  <c r="CO38" i="2"/>
  <c r="CN38" i="2"/>
  <c r="CM38" i="2"/>
  <c r="CL38" i="2"/>
  <c r="CK38" i="2"/>
  <c r="CJ38" i="2"/>
  <c r="CI38" i="2"/>
  <c r="CH38" i="2"/>
  <c r="CG38" i="2"/>
  <c r="CF38" i="2"/>
  <c r="CE38" i="2"/>
  <c r="CD38" i="2"/>
  <c r="CC38" i="2"/>
  <c r="CB38" i="2"/>
  <c r="CA38" i="2"/>
  <c r="BZ38" i="2"/>
  <c r="BY38" i="2"/>
  <c r="BX38" i="2"/>
  <c r="BW38" i="2"/>
  <c r="BV38" i="2"/>
  <c r="BU38" i="2"/>
  <c r="BT38" i="2"/>
  <c r="BS38" i="2"/>
  <c r="BR38" i="2"/>
  <c r="BQ38" i="2"/>
  <c r="BP38" i="2"/>
  <c r="BO38" i="2"/>
  <c r="BN38" i="2"/>
  <c r="BM38" i="2"/>
  <c r="BL38" i="2"/>
  <c r="BK38" i="2"/>
  <c r="BJ38" i="2"/>
  <c r="BI38" i="2"/>
  <c r="BH38" i="2"/>
  <c r="BG38" i="2"/>
  <c r="BF38" i="2"/>
  <c r="BE38" i="2"/>
  <c r="BD38" i="2"/>
  <c r="BC38" i="2"/>
  <c r="BB38" i="2"/>
  <c r="BA38" i="2"/>
  <c r="AZ38" i="2"/>
  <c r="AY38" i="2"/>
  <c r="AX38" i="2"/>
  <c r="AW38" i="2"/>
  <c r="AV38" i="2"/>
  <c r="AU38" i="2"/>
  <c r="AT38" i="2"/>
  <c r="AS38" i="2"/>
  <c r="AR38" i="2"/>
  <c r="AQ38" i="2"/>
  <c r="AP38" i="2"/>
  <c r="AO38" i="2"/>
  <c r="AN38" i="2"/>
  <c r="AM38" i="2"/>
  <c r="AL38" i="2"/>
  <c r="AK38" i="2"/>
  <c r="AJ38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JC37" i="2"/>
  <c r="JB37" i="2"/>
  <c r="JA37" i="2"/>
  <c r="IZ37" i="2"/>
  <c r="IY37" i="2"/>
  <c r="IX37" i="2"/>
  <c r="IW37" i="2"/>
  <c r="IV37" i="2"/>
  <c r="IU37" i="2"/>
  <c r="IT37" i="2"/>
  <c r="IS37" i="2"/>
  <c r="IR37" i="2"/>
  <c r="IQ37" i="2"/>
  <c r="IP37" i="2"/>
  <c r="IO37" i="2"/>
  <c r="IN37" i="2"/>
  <c r="IM37" i="2"/>
  <c r="IL37" i="2"/>
  <c r="IK37" i="2"/>
  <c r="IJ37" i="2"/>
  <c r="II37" i="2"/>
  <c r="IH37" i="2"/>
  <c r="IG37" i="2"/>
  <c r="IF37" i="2"/>
  <c r="IE37" i="2"/>
  <c r="ID37" i="2"/>
  <c r="IC37" i="2"/>
  <c r="IB37" i="2"/>
  <c r="IA37" i="2"/>
  <c r="HZ37" i="2"/>
  <c r="HY37" i="2"/>
  <c r="HX37" i="2"/>
  <c r="HW37" i="2"/>
  <c r="HV37" i="2"/>
  <c r="HU37" i="2"/>
  <c r="HT37" i="2"/>
  <c r="HS37" i="2"/>
  <c r="HR37" i="2"/>
  <c r="HQ37" i="2"/>
  <c r="HP37" i="2"/>
  <c r="HO37" i="2"/>
  <c r="HN37" i="2"/>
  <c r="HM37" i="2"/>
  <c r="HL37" i="2"/>
  <c r="HK37" i="2"/>
  <c r="HJ37" i="2"/>
  <c r="HI37" i="2"/>
  <c r="HH37" i="2"/>
  <c r="HG37" i="2"/>
  <c r="HF37" i="2"/>
  <c r="HE37" i="2"/>
  <c r="HD37" i="2"/>
  <c r="HC37" i="2"/>
  <c r="HB37" i="2"/>
  <c r="HA37" i="2"/>
  <c r="GZ37" i="2"/>
  <c r="GY37" i="2"/>
  <c r="GX37" i="2"/>
  <c r="GW37" i="2"/>
  <c r="GV37" i="2"/>
  <c r="GU37" i="2"/>
  <c r="GT37" i="2"/>
  <c r="GS37" i="2"/>
  <c r="GR37" i="2"/>
  <c r="GQ37" i="2"/>
  <c r="GP37" i="2"/>
  <c r="GO37" i="2"/>
  <c r="GN37" i="2"/>
  <c r="GM37" i="2"/>
  <c r="GL37" i="2"/>
  <c r="GK37" i="2"/>
  <c r="GJ37" i="2"/>
  <c r="GI37" i="2"/>
  <c r="GH37" i="2"/>
  <c r="GG37" i="2"/>
  <c r="GF37" i="2"/>
  <c r="GE37" i="2"/>
  <c r="GD37" i="2"/>
  <c r="GC37" i="2"/>
  <c r="GB37" i="2"/>
  <c r="GA37" i="2"/>
  <c r="FZ37" i="2"/>
  <c r="FY37" i="2"/>
  <c r="FX37" i="2"/>
  <c r="FW37" i="2"/>
  <c r="FV37" i="2"/>
  <c r="FU37" i="2"/>
  <c r="FT37" i="2"/>
  <c r="FS37" i="2"/>
  <c r="FR37" i="2"/>
  <c r="FQ37" i="2"/>
  <c r="FP37" i="2"/>
  <c r="FO37" i="2"/>
  <c r="FN37" i="2"/>
  <c r="FM37" i="2"/>
  <c r="FL37" i="2"/>
  <c r="FK37" i="2"/>
  <c r="FJ37" i="2"/>
  <c r="FI37" i="2"/>
  <c r="FH37" i="2"/>
  <c r="FG37" i="2"/>
  <c r="FF37" i="2"/>
  <c r="FE37" i="2"/>
  <c r="FD37" i="2"/>
  <c r="FC37" i="2"/>
  <c r="FB37" i="2"/>
  <c r="FA37" i="2"/>
  <c r="EZ37" i="2"/>
  <c r="EY37" i="2"/>
  <c r="EX37" i="2"/>
  <c r="EW37" i="2"/>
  <c r="EV37" i="2"/>
  <c r="EU37" i="2"/>
  <c r="ET37" i="2"/>
  <c r="ES37" i="2"/>
  <c r="ER37" i="2"/>
  <c r="EQ37" i="2"/>
  <c r="EP37" i="2"/>
  <c r="EO37" i="2"/>
  <c r="EN37" i="2"/>
  <c r="EM37" i="2"/>
  <c r="EL37" i="2"/>
  <c r="EK37" i="2"/>
  <c r="EJ37" i="2"/>
  <c r="EI37" i="2"/>
  <c r="EH37" i="2"/>
  <c r="EG37" i="2"/>
  <c r="EF37" i="2"/>
  <c r="EE37" i="2"/>
  <c r="ED37" i="2"/>
  <c r="EC37" i="2"/>
  <c r="EB37" i="2"/>
  <c r="EA37" i="2"/>
  <c r="DZ37" i="2"/>
  <c r="DY37" i="2"/>
  <c r="DX37" i="2"/>
  <c r="DW37" i="2"/>
  <c r="DV37" i="2"/>
  <c r="DU37" i="2"/>
  <c r="DT37" i="2"/>
  <c r="DS37" i="2"/>
  <c r="DR37" i="2"/>
  <c r="DQ37" i="2"/>
  <c r="DP37" i="2"/>
  <c r="DO37" i="2"/>
  <c r="DN37" i="2"/>
  <c r="DM37" i="2"/>
  <c r="DL37" i="2"/>
  <c r="DK37" i="2"/>
  <c r="DJ37" i="2"/>
  <c r="DI37" i="2"/>
  <c r="DH37" i="2"/>
  <c r="DG37" i="2"/>
  <c r="DF37" i="2"/>
  <c r="DE37" i="2"/>
  <c r="DD37" i="2"/>
  <c r="DC37" i="2"/>
  <c r="DB37" i="2"/>
  <c r="DA37" i="2"/>
  <c r="CZ37" i="2"/>
  <c r="CY37" i="2"/>
  <c r="CX37" i="2"/>
  <c r="CW37" i="2"/>
  <c r="CV37" i="2"/>
  <c r="CU37" i="2"/>
  <c r="CT37" i="2"/>
  <c r="CS37" i="2"/>
  <c r="CR37" i="2"/>
  <c r="CQ37" i="2"/>
  <c r="CP37" i="2"/>
  <c r="CO37" i="2"/>
  <c r="CN37" i="2"/>
  <c r="CM37" i="2"/>
  <c r="CL37" i="2"/>
  <c r="CK37" i="2"/>
  <c r="CJ37" i="2"/>
  <c r="CI37" i="2"/>
  <c r="CH37" i="2"/>
  <c r="CG37" i="2"/>
  <c r="CF37" i="2"/>
  <c r="CE37" i="2"/>
  <c r="CD37" i="2"/>
  <c r="CC37" i="2"/>
  <c r="CB37" i="2"/>
  <c r="CA37" i="2"/>
  <c r="BZ37" i="2"/>
  <c r="BY37" i="2"/>
  <c r="BX37" i="2"/>
  <c r="BW37" i="2"/>
  <c r="BV37" i="2"/>
  <c r="BU37" i="2"/>
  <c r="BT37" i="2"/>
  <c r="BS37" i="2"/>
  <c r="BR37" i="2"/>
  <c r="BQ37" i="2"/>
  <c r="BP37" i="2"/>
  <c r="BO37" i="2"/>
  <c r="BN37" i="2"/>
  <c r="BM37" i="2"/>
  <c r="BL37" i="2"/>
  <c r="BK37" i="2"/>
  <c r="BJ37" i="2"/>
  <c r="BI37" i="2"/>
  <c r="BH37" i="2"/>
  <c r="BG37" i="2"/>
  <c r="BF37" i="2"/>
  <c r="BE37" i="2"/>
  <c r="BD37" i="2"/>
  <c r="BC37" i="2"/>
  <c r="BB37" i="2"/>
  <c r="BA37" i="2"/>
  <c r="AZ37" i="2"/>
  <c r="AY37" i="2"/>
  <c r="AX37" i="2"/>
  <c r="AW37" i="2"/>
  <c r="AV37" i="2"/>
  <c r="AU37" i="2"/>
  <c r="AT37" i="2"/>
  <c r="AS37" i="2"/>
  <c r="AR37" i="2"/>
  <c r="AQ37" i="2"/>
  <c r="AP37" i="2"/>
  <c r="AO37" i="2"/>
  <c r="AN37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8" i="2" l="1"/>
  <c r="G37" i="2"/>
  <c r="G3" i="2"/>
  <c r="H3" i="2" s="1"/>
  <c r="I3" i="2" s="1"/>
  <c r="J3" i="2" s="1"/>
  <c r="K3" i="2" s="1"/>
  <c r="L3" i="2" s="1"/>
  <c r="M3" i="2" s="1"/>
  <c r="N3" i="2" s="1"/>
  <c r="O3" i="2" s="1"/>
  <c r="P3" i="2" s="1"/>
  <c r="Q3" i="2" s="1"/>
  <c r="R3" i="2" s="1"/>
  <c r="S3" i="2" s="1"/>
  <c r="T3" i="2" s="1"/>
  <c r="U3" i="2" s="1"/>
  <c r="V3" i="2" s="1"/>
  <c r="W3" i="2" s="1"/>
  <c r="X3" i="2" s="1"/>
  <c r="Y3" i="2" s="1"/>
  <c r="Z3" i="2" s="1"/>
  <c r="AA3" i="2" s="1"/>
  <c r="AB3" i="2" s="1"/>
  <c r="AC3" i="2" s="1"/>
  <c r="AD3" i="2" s="1"/>
  <c r="AE3" i="2" s="1"/>
  <c r="AF3" i="2" s="1"/>
  <c r="AG3" i="2" s="1"/>
  <c r="AH3" i="2" s="1"/>
  <c r="AI3" i="2" s="1"/>
  <c r="AJ3" i="2" s="1"/>
  <c r="AK3" i="2" s="1"/>
  <c r="AL3" i="2" s="1"/>
  <c r="AM3" i="2" s="1"/>
  <c r="AN3" i="2" s="1"/>
  <c r="AO3" i="2" s="1"/>
  <c r="AP3" i="2" s="1"/>
  <c r="AQ3" i="2" s="1"/>
  <c r="AR3" i="2" s="1"/>
  <c r="AS3" i="2" s="1"/>
  <c r="AT3" i="2" s="1"/>
  <c r="AU3" i="2" s="1"/>
  <c r="AV3" i="2" s="1"/>
  <c r="AW3" i="2" s="1"/>
  <c r="AX3" i="2" s="1"/>
  <c r="AY3" i="2" s="1"/>
  <c r="AZ3" i="2" s="1"/>
  <c r="BA3" i="2" s="1"/>
  <c r="BB3" i="2" s="1"/>
  <c r="BC3" i="2" s="1"/>
  <c r="BD3" i="2" s="1"/>
  <c r="BE3" i="2" s="1"/>
  <c r="BF3" i="2" s="1"/>
  <c r="BG3" i="2" s="1"/>
  <c r="BH3" i="2" s="1"/>
  <c r="BI3" i="2" s="1"/>
  <c r="BJ3" i="2" s="1"/>
  <c r="BK3" i="2" s="1"/>
  <c r="BL3" i="2" s="1"/>
  <c r="BM3" i="2" s="1"/>
  <c r="BN3" i="2" s="1"/>
  <c r="BO3" i="2" s="1"/>
  <c r="BP3" i="2" s="1"/>
  <c r="BQ3" i="2" s="1"/>
  <c r="BR3" i="2" s="1"/>
  <c r="BS3" i="2" s="1"/>
  <c r="BT3" i="2" s="1"/>
  <c r="BU3" i="2" s="1"/>
  <c r="BV3" i="2" s="1"/>
  <c r="BW3" i="2" s="1"/>
  <c r="BX3" i="2" s="1"/>
  <c r="BY3" i="2" s="1"/>
  <c r="BZ3" i="2" s="1"/>
  <c r="CA3" i="2" s="1"/>
  <c r="CB3" i="2" s="1"/>
  <c r="CC3" i="2" s="1"/>
  <c r="CD3" i="2" s="1"/>
  <c r="CE3" i="2" s="1"/>
  <c r="CF3" i="2" s="1"/>
  <c r="CG3" i="2" s="1"/>
  <c r="CH3" i="2" s="1"/>
  <c r="CI3" i="2" s="1"/>
  <c r="CJ3" i="2" s="1"/>
  <c r="CK3" i="2" s="1"/>
  <c r="CL3" i="2" s="1"/>
  <c r="CM3" i="2" s="1"/>
  <c r="CN3" i="2" s="1"/>
  <c r="CO3" i="2" s="1"/>
  <c r="CP3" i="2" s="1"/>
  <c r="CQ3" i="2" s="1"/>
  <c r="CR3" i="2" s="1"/>
  <c r="CS3" i="2" s="1"/>
  <c r="CT3" i="2" s="1"/>
  <c r="CU3" i="2" s="1"/>
  <c r="CV3" i="2" s="1"/>
  <c r="CW3" i="2" s="1"/>
  <c r="CX3" i="2" s="1"/>
  <c r="CY3" i="2" s="1"/>
  <c r="CZ3" i="2" s="1"/>
  <c r="DA3" i="2" s="1"/>
  <c r="DB3" i="2" s="1"/>
  <c r="DC3" i="2" s="1"/>
  <c r="DD3" i="2" s="1"/>
  <c r="DE3" i="2" s="1"/>
  <c r="DF3" i="2" s="1"/>
  <c r="DG3" i="2" s="1"/>
  <c r="DH3" i="2" s="1"/>
  <c r="DI3" i="2" s="1"/>
  <c r="DJ3" i="2" s="1"/>
  <c r="DK3" i="2" s="1"/>
  <c r="DL3" i="2" s="1"/>
  <c r="DM3" i="2" s="1"/>
  <c r="DN3" i="2" s="1"/>
  <c r="DO3" i="2" s="1"/>
  <c r="DP3" i="2" s="1"/>
  <c r="DQ3" i="2" s="1"/>
  <c r="DR3" i="2" s="1"/>
  <c r="DS3" i="2" s="1"/>
  <c r="DT3" i="2" s="1"/>
  <c r="DU3" i="2" s="1"/>
  <c r="DV3" i="2" s="1"/>
  <c r="DW3" i="2" s="1"/>
  <c r="DX3" i="2" s="1"/>
  <c r="DY3" i="2" s="1"/>
  <c r="DZ3" i="2" s="1"/>
  <c r="EA3" i="2" s="1"/>
  <c r="EB3" i="2" s="1"/>
  <c r="EC3" i="2" s="1"/>
  <c r="ED3" i="2" s="1"/>
  <c r="EE3" i="2" s="1"/>
  <c r="EF3" i="2" s="1"/>
  <c r="EG3" i="2" s="1"/>
  <c r="EH3" i="2" s="1"/>
  <c r="EI3" i="2" s="1"/>
  <c r="EJ3" i="2" s="1"/>
  <c r="EK3" i="2" s="1"/>
  <c r="EL3" i="2" s="1"/>
  <c r="EM3" i="2" s="1"/>
  <c r="EN3" i="2" s="1"/>
  <c r="EO3" i="2" s="1"/>
  <c r="EP3" i="2" s="1"/>
  <c r="EQ3" i="2" s="1"/>
  <c r="ER3" i="2" s="1"/>
  <c r="ES3" i="2" s="1"/>
  <c r="ET3" i="2" s="1"/>
  <c r="EU3" i="2" s="1"/>
  <c r="EV3" i="2" s="1"/>
  <c r="EW3" i="2" s="1"/>
  <c r="EX3" i="2" s="1"/>
  <c r="EY3" i="2" s="1"/>
  <c r="EZ3" i="2" s="1"/>
  <c r="FA3" i="2" s="1"/>
  <c r="FB3" i="2" s="1"/>
  <c r="FC3" i="2" s="1"/>
  <c r="FD3" i="2" s="1"/>
  <c r="FE3" i="2" s="1"/>
  <c r="FF3" i="2" s="1"/>
  <c r="FG3" i="2" s="1"/>
  <c r="FH3" i="2" s="1"/>
  <c r="FI3" i="2" s="1"/>
  <c r="FJ3" i="2" s="1"/>
  <c r="FK3" i="2" s="1"/>
  <c r="FL3" i="2" s="1"/>
  <c r="FM3" i="2" s="1"/>
  <c r="FN3" i="2" s="1"/>
  <c r="FO3" i="2" s="1"/>
  <c r="FP3" i="2" s="1"/>
  <c r="FQ3" i="2" s="1"/>
  <c r="FR3" i="2" s="1"/>
  <c r="FS3" i="2" s="1"/>
  <c r="FT3" i="2" s="1"/>
  <c r="FU3" i="2" s="1"/>
  <c r="FV3" i="2" s="1"/>
  <c r="FW3" i="2" s="1"/>
  <c r="FX3" i="2" s="1"/>
  <c r="FY3" i="2" s="1"/>
  <c r="FZ3" i="2" s="1"/>
  <c r="GA3" i="2" s="1"/>
  <c r="GB3" i="2" s="1"/>
  <c r="GC3" i="2" s="1"/>
  <c r="GD3" i="2" s="1"/>
  <c r="GE3" i="2" s="1"/>
  <c r="GF3" i="2" s="1"/>
  <c r="GG3" i="2" s="1"/>
  <c r="GH3" i="2" s="1"/>
  <c r="GI3" i="2" s="1"/>
  <c r="GJ3" i="2" s="1"/>
  <c r="GK3" i="2" s="1"/>
  <c r="GL3" i="2" s="1"/>
  <c r="GM3" i="2" s="1"/>
  <c r="GN3" i="2" s="1"/>
  <c r="GO3" i="2" s="1"/>
  <c r="GP3" i="2" s="1"/>
  <c r="GQ3" i="2" s="1"/>
  <c r="GR3" i="2" s="1"/>
  <c r="GS3" i="2" s="1"/>
  <c r="GT3" i="2" s="1"/>
  <c r="GU3" i="2" s="1"/>
  <c r="GV3" i="2" s="1"/>
  <c r="GW3" i="2" s="1"/>
  <c r="GX3" i="2" s="1"/>
  <c r="GY3" i="2" s="1"/>
  <c r="GZ3" i="2" s="1"/>
  <c r="HA3" i="2" s="1"/>
  <c r="HB3" i="2" s="1"/>
  <c r="HC3" i="2" s="1"/>
  <c r="HD3" i="2" s="1"/>
  <c r="HE3" i="2" s="1"/>
  <c r="HF3" i="2" s="1"/>
  <c r="HG3" i="2" s="1"/>
  <c r="HH3" i="2" s="1"/>
  <c r="HI3" i="2" s="1"/>
  <c r="HJ3" i="2" s="1"/>
  <c r="HK3" i="2" s="1"/>
  <c r="HL3" i="2" s="1"/>
  <c r="HM3" i="2" s="1"/>
  <c r="HN3" i="2" s="1"/>
  <c r="HO3" i="2" s="1"/>
  <c r="HP3" i="2" s="1"/>
  <c r="HQ3" i="2" s="1"/>
  <c r="HR3" i="2" s="1"/>
  <c r="HS3" i="2" s="1"/>
  <c r="HT3" i="2" s="1"/>
  <c r="HU3" i="2" s="1"/>
  <c r="HV3" i="2" s="1"/>
  <c r="HW3" i="2" s="1"/>
  <c r="HX3" i="2" s="1"/>
  <c r="HY3" i="2" s="1"/>
  <c r="HZ3" i="2" s="1"/>
  <c r="IA3" i="2" s="1"/>
  <c r="IB3" i="2" s="1"/>
  <c r="IC3" i="2" s="1"/>
  <c r="ID3" i="2" s="1"/>
  <c r="IE3" i="2" s="1"/>
  <c r="IF3" i="2" s="1"/>
  <c r="IG3" i="2" s="1"/>
  <c r="IH3" i="2" s="1"/>
  <c r="II3" i="2" s="1"/>
  <c r="IJ3" i="2" s="1"/>
  <c r="IK3" i="2" s="1"/>
  <c r="IL3" i="2" s="1"/>
  <c r="IM3" i="2" s="1"/>
  <c r="IN3" i="2" s="1"/>
  <c r="IO3" i="2" s="1"/>
  <c r="IP3" i="2" s="1"/>
  <c r="IQ3" i="2" s="1"/>
  <c r="IR3" i="2" s="1"/>
  <c r="IS3" i="2" s="1"/>
  <c r="IT3" i="2" s="1"/>
  <c r="IU3" i="2" s="1"/>
  <c r="IV3" i="2" s="1"/>
  <c r="IW3" i="2" s="1"/>
  <c r="IX3" i="2" s="1"/>
  <c r="IY3" i="2" s="1"/>
  <c r="IZ3" i="2" s="1"/>
  <c r="JA3" i="2" s="1"/>
  <c r="JB3" i="2" s="1"/>
  <c r="JC3" i="2" s="1"/>
  <c r="H2" i="2"/>
  <c r="I2" i="2" s="1"/>
  <c r="J2" i="2" s="1"/>
  <c r="K2" i="2" s="1"/>
  <c r="L2" i="2" s="1"/>
  <c r="M2" i="2" s="1"/>
  <c r="N2" i="2" s="1"/>
  <c r="O2" i="2" s="1"/>
  <c r="P2" i="2" s="1"/>
  <c r="Q2" i="2" s="1"/>
  <c r="R2" i="2" s="1"/>
  <c r="S2" i="2" s="1"/>
  <c r="T2" i="2" s="1"/>
  <c r="U2" i="2" s="1"/>
  <c r="V2" i="2" s="1"/>
  <c r="W2" i="2" s="1"/>
  <c r="X2" i="2" s="1"/>
  <c r="Y2" i="2" s="1"/>
  <c r="Z2" i="2" s="1"/>
  <c r="AA2" i="2" s="1"/>
  <c r="AB2" i="2" s="1"/>
  <c r="AC2" i="2" s="1"/>
  <c r="AD2" i="2" s="1"/>
  <c r="AE2" i="2" s="1"/>
  <c r="AF2" i="2" s="1"/>
  <c r="AG2" i="2" s="1"/>
  <c r="AH2" i="2" s="1"/>
  <c r="AI2" i="2" s="1"/>
  <c r="AJ2" i="2" s="1"/>
  <c r="AK2" i="2" s="1"/>
  <c r="AL2" i="2" s="1"/>
  <c r="AM2" i="2" s="1"/>
  <c r="AN2" i="2" s="1"/>
  <c r="AO2" i="2" s="1"/>
  <c r="AP2" i="2" s="1"/>
  <c r="AQ2" i="2" s="1"/>
  <c r="AR2" i="2" s="1"/>
  <c r="AS2" i="2" s="1"/>
  <c r="AT2" i="2" s="1"/>
  <c r="AU2" i="2" s="1"/>
  <c r="AV2" i="2" s="1"/>
  <c r="AW2" i="2" s="1"/>
  <c r="AX2" i="2" s="1"/>
  <c r="AY2" i="2" s="1"/>
  <c r="AZ2" i="2" s="1"/>
  <c r="BA2" i="2" s="1"/>
  <c r="BB2" i="2" s="1"/>
  <c r="BC2" i="2" s="1"/>
  <c r="BD2" i="2" s="1"/>
  <c r="BE2" i="2" s="1"/>
  <c r="BF2" i="2" s="1"/>
  <c r="BG2" i="2" s="1"/>
  <c r="BH2" i="2" s="1"/>
  <c r="BI2" i="2" s="1"/>
  <c r="BJ2" i="2" s="1"/>
  <c r="BK2" i="2" s="1"/>
  <c r="BL2" i="2" s="1"/>
  <c r="BM2" i="2" s="1"/>
  <c r="BN2" i="2" s="1"/>
  <c r="BO2" i="2" s="1"/>
  <c r="BP2" i="2" s="1"/>
  <c r="BQ2" i="2" s="1"/>
  <c r="BR2" i="2" s="1"/>
  <c r="BS2" i="2" s="1"/>
  <c r="BT2" i="2" s="1"/>
  <c r="BU2" i="2" s="1"/>
  <c r="BV2" i="2" s="1"/>
  <c r="BW2" i="2" s="1"/>
  <c r="BX2" i="2" s="1"/>
  <c r="BY2" i="2" s="1"/>
  <c r="BZ2" i="2" s="1"/>
  <c r="CA2" i="2" s="1"/>
  <c r="CB2" i="2" s="1"/>
  <c r="CC2" i="2" s="1"/>
  <c r="CD2" i="2" s="1"/>
  <c r="CE2" i="2" s="1"/>
  <c r="CF2" i="2" s="1"/>
  <c r="CG2" i="2" s="1"/>
  <c r="CH2" i="2" s="1"/>
  <c r="CI2" i="2" s="1"/>
  <c r="CJ2" i="2" s="1"/>
  <c r="CK2" i="2" s="1"/>
  <c r="CL2" i="2" s="1"/>
  <c r="CM2" i="2" s="1"/>
  <c r="CN2" i="2" s="1"/>
  <c r="CO2" i="2" s="1"/>
  <c r="CP2" i="2" s="1"/>
  <c r="CQ2" i="2" s="1"/>
  <c r="CR2" i="2" s="1"/>
  <c r="CS2" i="2" s="1"/>
  <c r="CT2" i="2" s="1"/>
  <c r="CU2" i="2" s="1"/>
  <c r="CV2" i="2" s="1"/>
  <c r="CW2" i="2" s="1"/>
  <c r="CX2" i="2" s="1"/>
  <c r="CY2" i="2" s="1"/>
  <c r="CZ2" i="2" s="1"/>
  <c r="DA2" i="2" s="1"/>
  <c r="DB2" i="2" s="1"/>
  <c r="DC2" i="2" s="1"/>
  <c r="DD2" i="2" s="1"/>
  <c r="DE2" i="2" s="1"/>
  <c r="DF2" i="2" s="1"/>
  <c r="DG2" i="2" s="1"/>
  <c r="DH2" i="2" s="1"/>
  <c r="DI2" i="2" s="1"/>
  <c r="DJ2" i="2" s="1"/>
  <c r="DK2" i="2" s="1"/>
  <c r="DL2" i="2" s="1"/>
  <c r="DM2" i="2" s="1"/>
  <c r="DN2" i="2" s="1"/>
  <c r="DO2" i="2" s="1"/>
  <c r="DP2" i="2" s="1"/>
  <c r="DQ2" i="2" s="1"/>
  <c r="DR2" i="2" s="1"/>
  <c r="DS2" i="2" s="1"/>
  <c r="DT2" i="2" s="1"/>
  <c r="DU2" i="2" s="1"/>
  <c r="DV2" i="2" s="1"/>
  <c r="DW2" i="2" s="1"/>
  <c r="DX2" i="2" s="1"/>
  <c r="DY2" i="2" s="1"/>
  <c r="DZ2" i="2" s="1"/>
  <c r="EA2" i="2" s="1"/>
  <c r="EB2" i="2" s="1"/>
  <c r="EC2" i="2" s="1"/>
  <c r="ED2" i="2" s="1"/>
  <c r="EE2" i="2" s="1"/>
  <c r="EF2" i="2" s="1"/>
  <c r="EG2" i="2" s="1"/>
  <c r="EH2" i="2" s="1"/>
  <c r="EI2" i="2" s="1"/>
  <c r="EJ2" i="2" s="1"/>
  <c r="EK2" i="2" s="1"/>
  <c r="EL2" i="2" s="1"/>
  <c r="EM2" i="2" s="1"/>
  <c r="EN2" i="2" s="1"/>
  <c r="EO2" i="2" s="1"/>
  <c r="EP2" i="2" s="1"/>
  <c r="EQ2" i="2" s="1"/>
  <c r="ER2" i="2" s="1"/>
  <c r="ES2" i="2" s="1"/>
  <c r="ET2" i="2" s="1"/>
  <c r="EU2" i="2" s="1"/>
  <c r="EV2" i="2" s="1"/>
  <c r="EW2" i="2" s="1"/>
  <c r="EX2" i="2" s="1"/>
  <c r="EY2" i="2" s="1"/>
  <c r="EZ2" i="2" s="1"/>
  <c r="FA2" i="2" s="1"/>
  <c r="FB2" i="2" s="1"/>
  <c r="FC2" i="2" s="1"/>
  <c r="FD2" i="2" s="1"/>
  <c r="FE2" i="2" s="1"/>
  <c r="FF2" i="2" s="1"/>
  <c r="FG2" i="2" s="1"/>
  <c r="FH2" i="2" s="1"/>
  <c r="FI2" i="2" s="1"/>
  <c r="FJ2" i="2" s="1"/>
  <c r="FK2" i="2" s="1"/>
  <c r="FL2" i="2" s="1"/>
  <c r="FM2" i="2" s="1"/>
  <c r="FN2" i="2" s="1"/>
  <c r="FO2" i="2" s="1"/>
  <c r="FP2" i="2" s="1"/>
  <c r="FQ2" i="2" s="1"/>
  <c r="FR2" i="2" s="1"/>
  <c r="FS2" i="2" s="1"/>
  <c r="FT2" i="2" s="1"/>
  <c r="FU2" i="2" s="1"/>
  <c r="FV2" i="2" s="1"/>
  <c r="FW2" i="2" s="1"/>
  <c r="FX2" i="2" s="1"/>
  <c r="FY2" i="2" s="1"/>
  <c r="FZ2" i="2" s="1"/>
  <c r="GA2" i="2" s="1"/>
  <c r="GB2" i="2" s="1"/>
  <c r="GC2" i="2" s="1"/>
  <c r="GD2" i="2" s="1"/>
  <c r="GE2" i="2" s="1"/>
  <c r="GF2" i="2" s="1"/>
  <c r="GG2" i="2" s="1"/>
  <c r="GH2" i="2" s="1"/>
  <c r="GI2" i="2" s="1"/>
  <c r="GJ2" i="2" s="1"/>
  <c r="GK2" i="2" s="1"/>
  <c r="GL2" i="2" s="1"/>
  <c r="GM2" i="2" s="1"/>
  <c r="GN2" i="2" s="1"/>
  <c r="GO2" i="2" s="1"/>
  <c r="GP2" i="2" s="1"/>
  <c r="GQ2" i="2" s="1"/>
  <c r="GR2" i="2" s="1"/>
  <c r="GS2" i="2" s="1"/>
  <c r="GT2" i="2" s="1"/>
  <c r="GU2" i="2" s="1"/>
  <c r="GV2" i="2" s="1"/>
  <c r="GW2" i="2" s="1"/>
  <c r="GX2" i="2" s="1"/>
  <c r="GY2" i="2" s="1"/>
  <c r="GZ2" i="2" s="1"/>
  <c r="HA2" i="2" s="1"/>
  <c r="HB2" i="2" s="1"/>
  <c r="HC2" i="2" s="1"/>
  <c r="HD2" i="2" s="1"/>
  <c r="HE2" i="2" s="1"/>
  <c r="HF2" i="2" s="1"/>
  <c r="HG2" i="2" s="1"/>
  <c r="HH2" i="2" s="1"/>
  <c r="HI2" i="2" s="1"/>
  <c r="HJ2" i="2" s="1"/>
  <c r="HK2" i="2" s="1"/>
  <c r="HL2" i="2" s="1"/>
  <c r="HM2" i="2" s="1"/>
  <c r="HN2" i="2" s="1"/>
  <c r="HO2" i="2" s="1"/>
  <c r="HP2" i="2" s="1"/>
  <c r="HQ2" i="2" s="1"/>
  <c r="HR2" i="2" s="1"/>
  <c r="HS2" i="2" s="1"/>
  <c r="HT2" i="2" s="1"/>
  <c r="HU2" i="2" s="1"/>
  <c r="HV2" i="2" s="1"/>
  <c r="HW2" i="2" s="1"/>
  <c r="HX2" i="2" s="1"/>
  <c r="HY2" i="2" s="1"/>
  <c r="HZ2" i="2" s="1"/>
  <c r="IA2" i="2" s="1"/>
  <c r="IB2" i="2" s="1"/>
  <c r="IC2" i="2" s="1"/>
  <c r="ID2" i="2" s="1"/>
  <c r="IE2" i="2" s="1"/>
  <c r="IF2" i="2" s="1"/>
  <c r="IG2" i="2" s="1"/>
  <c r="IH2" i="2" s="1"/>
  <c r="II2" i="2" s="1"/>
  <c r="IJ2" i="2" s="1"/>
  <c r="IK2" i="2" s="1"/>
  <c r="IL2" i="2" s="1"/>
  <c r="IM2" i="2" s="1"/>
  <c r="IN2" i="2" s="1"/>
  <c r="IO2" i="2" s="1"/>
  <c r="IP2" i="2" s="1"/>
  <c r="IQ2" i="2" s="1"/>
  <c r="IR2" i="2" s="1"/>
  <c r="IS2" i="2" s="1"/>
  <c r="IT2" i="2" s="1"/>
  <c r="IU2" i="2" s="1"/>
  <c r="IV2" i="2" s="1"/>
  <c r="IW2" i="2" s="1"/>
  <c r="IX2" i="2" s="1"/>
  <c r="IY2" i="2" s="1"/>
  <c r="IZ2" i="2" s="1"/>
  <c r="JA2" i="2" s="1"/>
  <c r="JB2" i="2" s="1"/>
  <c r="JC2" i="2" s="1"/>
  <c r="C27" i="1"/>
  <c r="B27" i="1"/>
  <c r="D86" i="1" a="1"/>
  <c r="D85" i="1" a="1"/>
  <c r="D59" i="1" a="1"/>
  <c r="D65" i="1"/>
  <c r="D64" i="1"/>
  <c r="D63" i="1"/>
  <c r="D66" i="1"/>
  <c r="D73" i="1"/>
  <c r="D72" i="1"/>
  <c r="D75" i="1" a="1"/>
  <c r="D68" i="1"/>
  <c r="D20" i="1" a="1"/>
  <c r="D19" i="1" a="1"/>
  <c r="D43" i="1" a="1"/>
  <c r="D16" i="1" a="1"/>
  <c r="D15" i="1" a="1"/>
  <c r="D51" i="1" a="1"/>
  <c r="D31" i="1"/>
  <c r="D36" i="1"/>
  <c r="D40" i="1"/>
  <c r="D41" i="1"/>
  <c r="D33" i="1"/>
  <c r="D34" i="1"/>
  <c r="D32" i="1"/>
  <c r="D85" i="1" l="1"/>
  <c r="D86" i="1"/>
  <c r="D19" i="1"/>
  <c r="D20" i="1"/>
  <c r="D69" i="1"/>
  <c r="D70" i="1"/>
  <c r="D75" i="1"/>
  <c r="D59" i="1"/>
  <c r="D43" i="1"/>
  <c r="D51" i="1"/>
  <c r="D15" i="1"/>
  <c r="D16" i="1"/>
  <c r="D37" i="1"/>
  <c r="D38" i="1"/>
  <c r="D8" i="1" a="1"/>
  <c r="D9" i="1" a="1"/>
  <c r="D27" i="1" a="1"/>
  <c r="D27" i="1" l="1"/>
  <c r="D9" i="1"/>
  <c r="D8" i="1"/>
  <c r="D11" i="1" l="1" a="1"/>
  <c r="D11" i="1" s="1"/>
  <c r="D81" i="1" a="1"/>
  <c r="D81" i="1" s="1"/>
  <c r="D84" i="1" a="1"/>
  <c r="D84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<sst xmlns="http://schemas.openxmlformats.org/spreadsheetml/2006/main" count="287" uniqueCount="78">
  <si>
    <t>unique list</t>
  </si>
  <si>
    <t>isin</t>
  </si>
  <si>
    <t>XS2228373671</t>
  </si>
  <si>
    <t>XS1731823255</t>
  </si>
  <si>
    <t>XS2207430120</t>
  </si>
  <si>
    <t>XS1501166869</t>
  </si>
  <si>
    <t>XS2193661324</t>
  </si>
  <si>
    <t>XS1721244371</t>
  </si>
  <si>
    <t>XS1799939027</t>
  </si>
  <si>
    <t>XS2056730323</t>
  </si>
  <si>
    <t>XS2056371334</t>
  </si>
  <si>
    <t>XS2109819859</t>
  </si>
  <si>
    <t>XS2082429890</t>
  </si>
  <si>
    <t>XS2218405772</t>
  </si>
  <si>
    <t>XS2011260705</t>
  </si>
  <si>
    <t>FR0013367612</t>
  </si>
  <si>
    <t>US05565QDV77</t>
  </si>
  <si>
    <t>XS1888179550</t>
  </si>
  <si>
    <t>XS2193662728</t>
  </si>
  <si>
    <t>XS1713463559</t>
  </si>
  <si>
    <t>XS1048428442</t>
  </si>
  <si>
    <t>XS1591694481</t>
  </si>
  <si>
    <t>XS2238783422</t>
  </si>
  <si>
    <t>XS2193663619</t>
  </si>
  <si>
    <t>FR0013310505</t>
  </si>
  <si>
    <t>XS2187689380</t>
  </si>
  <si>
    <t>XS2056730679</t>
  </si>
  <si>
    <t>XS1795406658</t>
  </si>
  <si>
    <t>XS1590787799</t>
  </si>
  <si>
    <t>XS2011260531</t>
  </si>
  <si>
    <t>FR0011401751</t>
  </si>
  <si>
    <t>US05565QDU94</t>
  </si>
  <si>
    <t>XS2225157424</t>
  </si>
  <si>
    <t>source</t>
  </si>
  <si>
    <t>cbbt</t>
  </si>
  <si>
    <t>comments</t>
  </si>
  <si>
    <t>other fields</t>
  </si>
  <si>
    <t>nothing</t>
  </si>
  <si>
    <t>dates</t>
  </si>
  <si>
    <t>x</t>
  </si>
  <si>
    <t>whatever you want</t>
  </si>
  <si>
    <t>list</t>
  </si>
  <si>
    <t>input field</t>
  </si>
  <si>
    <t>blp_i_sprd_mid</t>
  </si>
  <si>
    <t>example index</t>
  </si>
  <si>
    <t>end</t>
  </si>
  <si>
    <t>example of history</t>
  </si>
  <si>
    <t>spread of the above</t>
  </si>
  <si>
    <t>example of spread history</t>
  </si>
  <si>
    <t>bond 1</t>
  </si>
  <si>
    <t>bond 2</t>
  </si>
  <si>
    <t>min</t>
  </si>
  <si>
    <t>max</t>
  </si>
  <si>
    <t>avg</t>
  </si>
  <si>
    <t>std</t>
  </si>
  <si>
    <t>example of statistics</t>
  </si>
  <si>
    <t>10 days ago</t>
  </si>
  <si>
    <t>another index</t>
  </si>
  <si>
    <t>yes</t>
  </si>
  <si>
    <t>% ile</t>
  </si>
  <si>
    <t>z scr</t>
  </si>
  <si>
    <t>current value</t>
  </si>
  <si>
    <t>spread yesterday</t>
  </si>
  <si>
    <t>spread to index example</t>
  </si>
  <si>
    <t>amount of data</t>
  </si>
  <si>
    <t>spread to CDS example</t>
  </si>
  <si>
    <t>cds</t>
  </si>
  <si>
    <t>ITRX XOVER CDSI GEN 5Y</t>
  </si>
  <si>
    <t>px_last</t>
  </si>
  <si>
    <t>ITRX XOVER CDSI GEN 3Y</t>
  </si>
  <si>
    <t>none</t>
  </si>
  <si>
    <t>ITRX EUR CDSI GEN 5Y</t>
  </si>
  <si>
    <t>ITRX XOVER CDSI GEN 10Y</t>
  </si>
  <si>
    <t>ITRX XOVER CDSI GEN 7Y</t>
  </si>
  <si>
    <t>Reduce array to size</t>
  </si>
  <si>
    <t>numbers</t>
  </si>
  <si>
    <t>all non blanks</t>
  </si>
  <si>
    <t>first n items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</si>
</sst>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"/>
  </numFmts>
  <fonts count="4" x14ac:knownFonts="1">
    <font>
      <sz val="8"/>
      <color theme="1"/>
      <name val="Courier New"/>
      <family val="2"/>
    </font>
    <font>
      <sz val="8"/>
      <color rgb="FF3F3F76"/>
      <name val="Courier New"/>
      <family val="2"/>
    </font>
    <font>
      <sz val="6"/>
      <color theme="1"/>
      <name val="Courier New"/>
      <family val="2"/>
    </font>
    <font>
      <b/>
      <sz val="16"/>
      <color theme="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9">
    <xf numFmtId="0" fontId="0" fillId="0" borderId="0" xfId="0"/>
    <xf numFmtId="0" fontId="0" fillId="3" borderId="0" xfId="0" applyFill="1"/>
    <xf numFmtId="14" fontId="2" fillId="3" borderId="0" xfId="0" applyNumberFormat="1" applyFont="1" applyFill="1"/>
    <xf numFmtId="0" fontId="0" fillId="3" borderId="0" xfId="0" applyNumberFormat="1" applyFill="1"/>
    <xf numFmtId="0" fontId="0" fillId="4" borderId="0" xfId="0" applyFill="1"/>
    <xf numFmtId="166" fontId="0" fillId="0" borderId="0" xfId="0" applyNumberFormat="1"/>
    <xf numFmtId="1" fontId="0" fillId="0" borderId="0" xfId="0" applyNumberFormat="1"/>
    <xf numFmtId="0" fontId="1" fillId="2" borderId="1" xfId="1"/>
    <xf numFmtId="0" fontId="3" fillId="0" borderId="0" xfId="0" applyFont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BDH|15917748197043704283</stp>
        <tr r="G42" s="2"/>
      </tp>
    </main>
    <main first="bofaddin.rtdserver">
      <tp t="s">
        <v>#N/A N/A</v>
        <stp/>
        <stp>BDH|15673385934536787816</stp>
        <tr r="G19" s="2"/>
      </tp>
    </main>
    <main first="bofaddin.rtdserver">
      <tp t="s">
        <v>#N/A N/A</v>
        <stp/>
        <stp>BDH|15073833735956321052</stp>
        <tr r="G24" s="2"/>
      </tp>
      <tp t="s">
        <v>#N/A N/A</v>
        <stp/>
        <stp>BDH|18174890873677487892</stp>
        <tr r="G32" s="2"/>
      </tp>
    </main>
    <main first="bofaddin.rtdserver">
      <tp t="s">
        <v>#N/A N/A</v>
        <stp/>
        <stp>BDH|16984277963604349885</stp>
        <tr r="G15" s="2"/>
      </tp>
    </main>
    <main first="bofaddin.rtdserver">
      <tp t="s">
        <v>#N/A N/A</v>
        <stp/>
        <stp>BDH|13404823989774472948</stp>
        <tr r="G34" s="2"/>
      </tp>
    </main>
    <main first="bofaddin.rtdserver">
      <tp t="s">
        <v>#N/A N/A</v>
        <stp/>
        <stp>BDH|10836407814280112922</stp>
        <tr r="G16" s="2"/>
      </tp>
    </main>
    <main first="bofaddin.rtdserver">
      <tp t="s">
        <v>#N/A N/A</v>
        <stp/>
        <stp>BDH|17246951004671562226</stp>
        <tr r="G41" s="2"/>
      </tp>
    </main>
    <main first="bofaddin.rtdserver">
      <tp t="s">
        <v>#N/A N/A</v>
        <stp/>
        <stp>BDH|10081971407712865628</stp>
        <tr r="G31" s="2"/>
      </tp>
    </main>
    <main first="bofaddin.rtdserver">
      <tp t="s">
        <v>#N/A N/A</v>
        <stp/>
        <stp>BDH|13516166655667323253</stp>
        <tr r="G22" s="2"/>
      </tp>
    </main>
    <main first="bofaddin.rtdserver">
      <tp t="s">
        <v>#N/A N/A</v>
        <stp/>
        <stp>BDH|17396278299698856610</stp>
        <tr r="G13" s="2"/>
      </tp>
    </main>
    <main first="bofaddin.rtdserver">
      <tp t="s">
        <v>#N/A N/A</v>
        <stp/>
        <stp>BDH|15014322402170789630</stp>
        <tr r="G30" s="2"/>
      </tp>
    </main>
    <main first="bofaddin.rtdserver">
      <tp t="s">
        <v>#N/A N/A</v>
        <stp/>
        <stp>BDH|14646235402636340084</stp>
        <tr r="G20" s="2"/>
      </tp>
    </main>
    <main first="bofaddin.rtdserver">
      <tp t="s">
        <v>#N/A N/A</v>
        <stp/>
        <stp>BDH|15476051194389449407</stp>
        <tr r="G8" s="2"/>
      </tp>
    </main>
    <main first="bofaddin.rtdserver">
      <tp t="s">
        <v>#N/A N/A</v>
        <stp/>
        <stp>BDH|13994171910261290378</stp>
        <tr r="G17" s="2"/>
      </tp>
    </main>
    <main first="bofaddin.rtdserver">
      <tp t="s">
        <v>#N/A N/A</v>
        <stp/>
        <stp>BDH|11933093531254556789</stp>
        <tr r="G10" s="2"/>
      </tp>
    </main>
    <main first="bofaddin.rtdserver">
      <tp t="s">
        <v>#N/A N/A</v>
        <stp/>
        <stp>BDH|16794298334403483368</stp>
        <tr r="G9" s="2"/>
      </tp>
    </main>
    <main first="bofaddin.rtdserver">
      <tp t="s">
        <v>#N/A N/A</v>
        <stp/>
        <stp>BDH|14364307313535087659</stp>
        <tr r="G12" s="2"/>
      </tp>
    </main>
    <main first="bofaddin.rtdserver">
      <tp t="s">
        <v>#N/A N/A</v>
        <stp/>
        <stp>BDH|3736249078718552054</stp>
        <tr r="G5" s="2"/>
      </tp>
      <tp t="s">
        <v>#N/A N/A</v>
        <stp/>
        <stp>BDH|9282953291826937103</stp>
        <tr r="G11" s="2"/>
      </tp>
    </main>
    <main first="bofaddin.rtdserver">
      <tp t="s">
        <v>#N/A N/A</v>
        <stp/>
        <stp>BDH|5482564431335790866</stp>
        <tr r="G29" s="2"/>
      </tp>
      <tp t="s">
        <v>#N/A N/A</v>
        <stp/>
        <stp>BDH|8752272216282774723</stp>
        <tr r="G21" s="2"/>
      </tp>
    </main>
    <main first="bofaddin.rtdserver">
      <tp t="s">
        <v>#N/A N/A</v>
        <stp/>
        <stp>BDH|7063759486070749769</stp>
        <tr r="G28" s="2"/>
      </tp>
      <tp t="s">
        <v>#N/A N/A</v>
        <stp/>
        <stp>BDH|6616974452121125447</stp>
        <tr r="G7" s="2"/>
      </tp>
    </main>
    <main first="bofaddin.rtdserver">
      <tp t="s">
        <v>#N/A N/A</v>
        <stp/>
        <stp>BDH|5485546906489436162</stp>
        <tr r="G25" s="2"/>
      </tp>
    </main>
    <main first="bofaddin.rtdserver">
      <tp t="s">
        <v>#N/A N/A</v>
        <stp/>
        <stp>BDH|1964030481978201826</stp>
        <tr r="G43" s="2"/>
      </tp>
    </main>
    <main first="bofaddin.rtdserver">
      <tp t="s">
        <v>#N/A N/A</v>
        <stp/>
        <stp>BDH|1972867153452441715</stp>
        <tr r="G18" s="2"/>
      </tp>
    </main>
    <main first="bofaddin.rtdserver">
      <tp t="s">
        <v>#N/A N/A</v>
        <stp/>
        <stp>BDH|1975677565359585267</stp>
        <tr r="G6" s="2"/>
      </tp>
      <tp t="s">
        <v>#N/A N/A</v>
        <stp/>
        <stp>BDH|1797319280148110895</stp>
        <tr r="G23" s="2"/>
      </tp>
    </main>
    <main first="bofaddin.rtdserver">
      <tp t="s">
        <v>#N/A N/A</v>
        <stp/>
        <stp>BDH|4436217328152879390</stp>
        <tr r="G33" s="2"/>
      </tp>
    </main>
    <main first="bofaddin.rtdserver">
      <tp t="s">
        <v>#N/A N/A</v>
        <stp/>
        <stp>BDH|7090706668452881482</stp>
        <tr r="G27" s="2"/>
      </tp>
    </main>
    <main first="bofaddin.rtdserver">
      <tp t="s">
        <v>#N/A N/A</v>
        <stp/>
        <stp>BDH|5337525777903127687</stp>
        <tr r="G26" s="2"/>
      </tp>
    </main>
    <main first="bofaddin.rtdserver">
      <tp t="s">
        <v>#N/A N/A</v>
        <stp/>
        <stp>BDH|4411038113660236778</stp>
        <tr r="G40" s="2"/>
      </tp>
    </main>
    <main first="bofaddin.rtdserver">
      <tp t="s">
        <v>#N/A N/A</v>
        <stp/>
        <stp>BDH|1245187312166857555</stp>
        <tr r="G35" s="2"/>
      </tp>
    </main>
    <main first="bofaddin.rtdserver">
      <tp t="s">
        <v>#N/A N/A</v>
        <stp/>
        <stp>BDH|565814098731685273</stp>
        <tr r="G45" s="2"/>
      </tp>
    </main>
    <main first="bofaddin.rtdserver">
      <tp t="s">
        <v>#N/A N/A</v>
        <stp/>
        <stp>BDH|415993408781696226</stp>
        <tr r="G14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20</xdr:col>
      <xdr:colOff>374650</xdr:colOff>
      <xdr:row>54</xdr:row>
      <xdr:rowOff>101600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DF007B6-75C0-4131-B6D5-58BDD849C52B}"/>
            </a:ext>
          </a:extLst>
        </xdr:cNvPr>
        <xdr:cNvSpPr txBox="1"/>
      </xdr:nvSpPr>
      <xdr:spPr>
        <a:xfrm>
          <a:off x="1676400" y="666750"/>
          <a:ext cx="9874250" cy="66357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400"/>
            <a:t>Demonstration of 2 functions for historic data.</a:t>
          </a:r>
        </a:p>
        <a:p>
          <a:endParaRPr lang="en-GB" sz="1200"/>
        </a:p>
        <a:p>
          <a:endParaRPr lang="en-GB" sz="1200"/>
        </a:p>
        <a:p>
          <a:endParaRPr lang="en-GB" sz="1200"/>
        </a:p>
        <a:p>
          <a:endParaRPr lang="en-GB" sz="1200"/>
        </a:p>
        <a:p>
          <a:endParaRPr lang="en-GB" sz="1200"/>
        </a:p>
        <a:p>
          <a:r>
            <a:rPr lang="en-GB" sz="1200" b="1"/>
            <a:t>Historic data for a single</a:t>
          </a:r>
          <a:r>
            <a:rPr lang="en-GB" sz="1200" b="1" baseline="0"/>
            <a:t> security</a:t>
          </a:r>
          <a:r>
            <a:rPr lang="en-GB" sz="1200" baseline="0"/>
            <a:t>:</a:t>
          </a:r>
          <a:endParaRPr lang="en-GB" sz="1200"/>
        </a:p>
        <a:p>
          <a:r>
            <a:rPr lang="en-GB" sz="1200"/>
            <a:t>=dl_Get_Hist(isin, isin_list, historic_data)</a:t>
          </a:r>
        </a:p>
        <a:p>
          <a:endParaRPr lang="en-GB" sz="1200"/>
        </a:p>
        <a:p>
          <a:r>
            <a:rPr lang="en-GB" sz="1200"/>
            <a:t>inputs:</a:t>
          </a:r>
        </a:p>
        <a:p>
          <a:r>
            <a:rPr lang="en-GB" sz="1200"/>
            <a:t>	isin:</a:t>
          </a:r>
          <a:r>
            <a:rPr lang="en-GB" sz="1200" baseline="0"/>
            <a:t> isin of security the user wants to fetch</a:t>
          </a:r>
        </a:p>
        <a:p>
          <a:r>
            <a:rPr lang="en-GB" sz="1200" baseline="0"/>
            <a:t>	isin_list: a list of available isins</a:t>
          </a:r>
        </a:p>
        <a:p>
          <a:r>
            <a:rPr lang="en-GB" sz="1200" baseline="0"/>
            <a:t>	historic_data: an array of data history.</a:t>
          </a:r>
        </a:p>
        <a:p>
          <a:r>
            <a:rPr lang="en-GB" sz="1200"/>
            <a:t>outputs:</a:t>
          </a:r>
        </a:p>
        <a:p>
          <a:r>
            <a:rPr lang="en-GB" sz="1200"/>
            <a:t>	a simple range containing </a:t>
          </a:r>
          <a:r>
            <a:rPr lang="en-GB" sz="1200" b="1">
              <a:solidFill>
                <a:srgbClr val="0070C0"/>
              </a:solidFill>
            </a:rPr>
            <a:t>bond history</a:t>
          </a:r>
        </a:p>
        <a:p>
          <a:endParaRPr lang="en-GB" sz="1200"/>
        </a:p>
        <a:p>
          <a:endParaRPr lang="en-GB" sz="1200"/>
        </a:p>
        <a:p>
          <a:endParaRPr lang="en-GB" sz="1200"/>
        </a:p>
        <a:p>
          <a:endParaRPr lang="en-GB" sz="1200"/>
        </a:p>
        <a:p>
          <a:endParaRPr lang="en-GB" sz="1200"/>
        </a:p>
        <a:p>
          <a:r>
            <a:rPr lang="en-GB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Historic data for a two </a:t>
          </a:r>
          <a:r>
            <a:rPr lang="en-GB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securities</a:t>
          </a:r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endParaRPr lang="en-GB" sz="1200">
            <a:effectLst/>
          </a:endParaRPr>
        </a:p>
        <a:p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=dl_spread_between_two_bonds(first_isin, second_isin, isin_list, historic_data)</a:t>
          </a:r>
        </a:p>
        <a:p>
          <a:endParaRPr lang="en-GB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GB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inputs:</a:t>
          </a:r>
          <a:endParaRPr lang="en-GB" sz="1200">
            <a:effectLst/>
          </a:endParaRPr>
        </a:p>
        <a:p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first_isin:</a:t>
          </a:r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isin of security the user wants to fetch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>
              <a:effectLst/>
            </a:rPr>
            <a:t>	</a:t>
          </a:r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second_isin:</a:t>
          </a:r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isin of security the user wants to fetch</a:t>
          </a:r>
          <a:endParaRPr lang="en-GB" sz="1200">
            <a:effectLst/>
          </a:endParaRPr>
        </a:p>
        <a:p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isin_list: a list of available isins</a:t>
          </a:r>
          <a:endParaRPr lang="en-GB" sz="1200">
            <a:effectLst/>
          </a:endParaRPr>
        </a:p>
        <a:p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historic_data: an array of data history.</a:t>
          </a:r>
          <a:endParaRPr lang="en-GB" sz="1200">
            <a:effectLst/>
          </a:endParaRPr>
        </a:p>
        <a:p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outputs:</a:t>
          </a:r>
          <a:endParaRPr lang="en-GB" sz="1200">
            <a:effectLst/>
          </a:endParaRPr>
        </a:p>
        <a:p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a simple range containing </a:t>
          </a:r>
          <a:r>
            <a:rPr lang="en-GB" sz="12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bond spread history</a:t>
          </a:r>
          <a:endParaRPr lang="en-GB" sz="1200" b="1">
            <a:solidFill>
              <a:srgbClr val="0070C0"/>
            </a:solidFill>
            <a:effectLst/>
          </a:endParaRPr>
        </a:p>
        <a:p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46</xdr:row>
      <xdr:rowOff>57150</xdr:rowOff>
    </xdr:from>
    <xdr:to>
      <xdr:col>14</xdr:col>
      <xdr:colOff>469900</xdr:colOff>
      <xdr:row>49</xdr:row>
      <xdr:rowOff>50800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1135E21-D22D-4062-B8AC-75E30C5ABEB5}"/>
            </a:ext>
          </a:extLst>
        </xdr:cNvPr>
        <xdr:cNvSpPr txBox="1"/>
      </xdr:nvSpPr>
      <xdr:spPr>
        <a:xfrm>
          <a:off x="6743700" y="5734050"/>
          <a:ext cx="2984500" cy="4635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This works exactly the same way as</a:t>
          </a:r>
          <a:r>
            <a:rPr lang="en-GB" sz="1100" baseline="0"/>
            <a:t> bonds.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61EC6-4903-4A8E-9A91-12B2491E4B6E}">
  <sheetPr codeName="Sheet3"/>
  <dimension ref="A1"/>
  <sheetViews>
    <sheetView showGridLines="0" workbookViewId="0">
      <selection activeCell="W23" sqref="W23"/>
    </sheetView>
  </sheetViews>
  <sheetFormatPr defaultRowHeight="10.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28C-FF93-487B-A400-FF680440C841}">
  <sheetPr codeName="Sheet1">
    <tabColor rgb="FFC00000"/>
  </sheetPr>
  <dimension ref="B5:IZ86"/>
  <sheetViews>
    <sheetView tabSelected="1" workbookViewId="0"/>
  </sheetViews>
  <sheetFormatPr defaultRowHeight="10.5" x14ac:dyDescent="0.25"/>
  <cols>
    <col min="2" max="2" width="23.19921875" bestFit="1" customWidth="1"/>
    <col min="3" max="3" width="20.09765625" customWidth="1"/>
  </cols>
  <sheetData>
    <row r="5" spans="2:260" ht="21.5" x14ac:dyDescent="0.55000000000000004">
      <c r="D5" s="8" t="s">
        <v>46</v>
      </c>
    </row>
    <row r="8" spans="2:260" x14ac:dyDescent="0.25">
      <c r="B8" s="7" t="s">
        <v>6</v>
      </c>
      <c r="D8" s="6" cm="1">
        <f t="array" aca="1" ref="D8:IZ8" ca="1">dl_Get_Hist(B8,isin_list,historic_data)</f>
        <v>297.66399999999999</v>
      </c>
      <c r="E8" s="6">
        <f ca="1"/>
        <v>303.25299999999999</v>
      </c>
      <c r="F8" s="6">
        <f ca="1"/>
        <v>307.72199999999998</v>
      </c>
      <c r="G8" s="6">
        <f ca="1"/>
        <v>304.07400000000001</v>
      </c>
      <c r="H8" s="6">
        <f ca="1"/>
        <v>302.78399999999999</v>
      </c>
      <c r="I8" s="6">
        <f ca="1"/>
        <v>303.60899999999998</v>
      </c>
      <c r="J8" s="6">
        <f ca="1"/>
        <v>304.49299999999999</v>
      </c>
      <c r="K8" s="6">
        <f ca="1"/>
        <v>303.33699999999999</v>
      </c>
      <c r="L8" s="6">
        <f ca="1"/>
        <v>294.166</v>
      </c>
      <c r="M8" s="6">
        <f ca="1"/>
        <v>292.34199999999998</v>
      </c>
      <c r="N8" s="6">
        <f ca="1"/>
        <v>300.50200000000001</v>
      </c>
      <c r="O8" s="6">
        <f ca="1"/>
        <v>308.09100000000001</v>
      </c>
      <c r="P8" s="6">
        <f ca="1"/>
        <v>302.59199999999998</v>
      </c>
      <c r="Q8" s="6">
        <f ca="1"/>
        <v>304.68900000000002</v>
      </c>
      <c r="R8" s="6">
        <f ca="1"/>
        <v>312.096</v>
      </c>
      <c r="S8" s="6">
        <f ca="1"/>
        <v>316.39999999999998</v>
      </c>
      <c r="T8" s="6">
        <f ca="1"/>
        <v>323.24799999999999</v>
      </c>
      <c r="U8" s="6">
        <f ca="1"/>
        <v>316.41800000000001</v>
      </c>
      <c r="V8" s="6">
        <f ca="1"/>
        <v>301.43400000000003</v>
      </c>
      <c r="W8" s="6">
        <f ca="1"/>
        <v>303.96300000000002</v>
      </c>
      <c r="X8" s="6">
        <f ca="1"/>
        <v>314.53899999999999</v>
      </c>
      <c r="Y8" s="6">
        <f ca="1"/>
        <v>287.50299999999999</v>
      </c>
      <c r="Z8" s="6">
        <f ca="1"/>
        <v>287.24700000000001</v>
      </c>
      <c r="AA8" s="6">
        <f ca="1"/>
        <v>291.93</v>
      </c>
      <c r="AB8" s="6">
        <f ca="1"/>
        <v>301.71699999999998</v>
      </c>
      <c r="AC8" s="6">
        <f ca="1"/>
        <v>305.65300000000002</v>
      </c>
      <c r="AD8" s="6">
        <f ca="1"/>
        <v>301.72800000000001</v>
      </c>
      <c r="AE8" s="6">
        <f ca="1"/>
        <v>295.35399999999998</v>
      </c>
      <c r="AF8" s="6">
        <f ca="1"/>
        <v>295.839</v>
      </c>
      <c r="AG8" s="6">
        <f ca="1"/>
        <v>289.947</v>
      </c>
      <c r="AH8" s="6">
        <f ca="1"/>
        <v>282.95699999999999</v>
      </c>
      <c r="AI8" s="6">
        <f ca="1"/>
        <v>280.202</v>
      </c>
      <c r="AJ8" s="6">
        <f ca="1"/>
        <v>280.71800000000002</v>
      </c>
      <c r="AK8" s="6">
        <f ca="1"/>
        <v>284.34800000000001</v>
      </c>
      <c r="AL8" s="6">
        <f ca="1"/>
        <v>287.08600000000001</v>
      </c>
      <c r="AM8" s="6">
        <f ca="1"/>
        <v>283.75700000000001</v>
      </c>
      <c r="AN8" s="6">
        <f ca="1"/>
        <v>287.52699999999999</v>
      </c>
      <c r="AO8" s="6">
        <f ca="1"/>
        <v>285.33800000000002</v>
      </c>
      <c r="AP8" s="6">
        <f ca="1"/>
        <v>279.95999999999998</v>
      </c>
      <c r="AQ8" s="6">
        <f ca="1"/>
        <v>278.947</v>
      </c>
      <c r="AR8" s="6">
        <f ca="1"/>
        <v>285.26100000000002</v>
      </c>
      <c r="AS8" s="6">
        <f ca="1"/>
        <v>291.13200000000001</v>
      </c>
      <c r="AT8" s="6">
        <f ca="1"/>
        <v>290.99</v>
      </c>
      <c r="AU8" s="6">
        <f ca="1"/>
        <v>286</v>
      </c>
      <c r="AV8" s="6">
        <f ca="1"/>
        <v>285.54199999999997</v>
      </c>
      <c r="AW8" s="6">
        <f ca="1"/>
        <v>280.95699999999999</v>
      </c>
      <c r="AX8" s="6">
        <f ca="1"/>
        <v>274.5</v>
      </c>
      <c r="AY8" s="6">
        <f ca="1"/>
        <v>267.47300000000001</v>
      </c>
      <c r="AZ8" s="6">
        <f ca="1"/>
        <v>268.25</v>
      </c>
      <c r="BA8" s="6">
        <f ca="1"/>
        <v>272.75599999999997</v>
      </c>
      <c r="BB8" s="6">
        <f ca="1"/>
        <v>280.916</v>
      </c>
      <c r="BC8" s="6">
        <f ca="1"/>
        <v>282.262</v>
      </c>
      <c r="BD8" s="6">
        <f ca="1"/>
        <v>284.69200000000001</v>
      </c>
      <c r="BE8" s="6">
        <f ca="1"/>
        <v>283.29300000000001</v>
      </c>
      <c r="BF8" s="6">
        <f ca="1"/>
        <v>306.79899999999998</v>
      </c>
      <c r="BG8" s="6">
        <f ca="1"/>
        <v>316.56400000000002</v>
      </c>
      <c r="BH8" s="6">
        <f ca="1"/>
        <v>317.3</v>
      </c>
      <c r="BI8" s="6">
        <f ca="1"/>
        <v>310.67599999999999</v>
      </c>
      <c r="BJ8" s="6">
        <f ca="1"/>
        <v>296.85199999999998</v>
      </c>
      <c r="BK8" s="6">
        <f ca="1"/>
        <v>297.00599999999997</v>
      </c>
      <c r="BL8" s="6">
        <f ca="1"/>
        <v>289.42599999999999</v>
      </c>
      <c r="BM8" s="6">
        <f ca="1"/>
        <v>287.89699999999999</v>
      </c>
      <c r="BN8" s="6">
        <f ca="1"/>
        <v>289.33600000000001</v>
      </c>
      <c r="BO8" s="6">
        <f ca="1"/>
        <v>294.18599999999998</v>
      </c>
      <c r="BP8" s="6">
        <f ca="1"/>
        <v>287.52800000000002</v>
      </c>
      <c r="BQ8" s="6">
        <f ca="1"/>
        <v>304.916</v>
      </c>
      <c r="BR8" s="6">
        <f ca="1"/>
        <v>314.84100000000001</v>
      </c>
      <c r="BS8" s="6">
        <f ca="1"/>
        <v>319.55900000000003</v>
      </c>
      <c r="BT8" s="6">
        <f ca="1"/>
        <v>320.95299999999997</v>
      </c>
      <c r="BU8" s="6">
        <f ca="1"/>
        <v>329.49700000000001</v>
      </c>
      <c r="BV8" s="6">
        <f ca="1"/>
        <v>328.291</v>
      </c>
      <c r="BW8" s="6">
        <f ca="1"/>
        <v>333.34800000000001</v>
      </c>
      <c r="BX8" s="6">
        <f ca="1"/>
        <v>327.83300000000003</v>
      </c>
      <c r="BY8" s="6">
        <f ca="1"/>
        <v>325.90699999999998</v>
      </c>
      <c r="BZ8" s="6">
        <f ca="1"/>
        <v>319.19200000000001</v>
      </c>
      <c r="CA8" s="6">
        <f ca="1"/>
        <v>318.17899999999997</v>
      </c>
      <c r="CB8" s="6">
        <f ca="1"/>
        <v>323.209</v>
      </c>
      <c r="CC8" s="6">
        <f ca="1"/>
        <v>323.209</v>
      </c>
      <c r="CD8" s="6">
        <f ca="1"/>
        <v>330.11099999999999</v>
      </c>
      <c r="CE8" s="6">
        <f ca="1"/>
        <v>346.36</v>
      </c>
      <c r="CF8" s="6">
        <f ca="1"/>
        <v>353.34100000000001</v>
      </c>
      <c r="CG8" s="6">
        <f ca="1"/>
        <v>358.06900000000002</v>
      </c>
      <c r="CH8" s="6">
        <f ca="1"/>
        <v>358.52499999999998</v>
      </c>
      <c r="CI8" s="6">
        <f ca="1"/>
        <v>356.08699999999999</v>
      </c>
      <c r="CJ8" s="6">
        <f ca="1"/>
        <v>347.93200000000002</v>
      </c>
      <c r="CK8" s="6">
        <f ca="1"/>
        <v>353.714</v>
      </c>
      <c r="CL8" s="6" t="str">
        <f ca="1"/>
        <v>-</v>
      </c>
      <c r="CM8" s="6" t="str">
        <f ca="1"/>
        <v>-</v>
      </c>
      <c r="CN8" s="6" t="str">
        <f ca="1"/>
        <v>-</v>
      </c>
      <c r="CO8" s="6" t="str">
        <f ca="1"/>
        <v>-</v>
      </c>
      <c r="CP8" s="6" t="str">
        <f ca="1"/>
        <v>-</v>
      </c>
      <c r="CQ8" s="6" t="str">
        <f ca="1"/>
        <v>-</v>
      </c>
      <c r="CR8" s="6" t="str">
        <f ca="1"/>
        <v>-</v>
      </c>
      <c r="CS8" s="6" t="str">
        <f ca="1"/>
        <v>-</v>
      </c>
      <c r="CT8" s="6" t="str">
        <f ca="1"/>
        <v>-</v>
      </c>
      <c r="CU8" s="6" t="str">
        <f ca="1"/>
        <v>-</v>
      </c>
      <c r="CV8" s="6" t="str">
        <f ca="1"/>
        <v>-</v>
      </c>
      <c r="CW8" s="6" t="str">
        <f ca="1"/>
        <v>-</v>
      </c>
      <c r="CX8" s="6" t="str">
        <f ca="1"/>
        <v>-</v>
      </c>
      <c r="CY8" s="6" t="str">
        <f ca="1"/>
        <v>-</v>
      </c>
      <c r="CZ8" s="6" t="str">
        <f ca="1"/>
        <v>-</v>
      </c>
      <c r="DA8" s="6" t="str">
        <f ca="1"/>
        <v>-</v>
      </c>
      <c r="DB8" s="6" t="str">
        <f ca="1"/>
        <v>-</v>
      </c>
      <c r="DC8" s="6" t="str">
        <f ca="1"/>
        <v>-</v>
      </c>
      <c r="DD8" s="6" t="str">
        <f ca="1"/>
        <v>-</v>
      </c>
      <c r="DE8" s="6" t="str">
        <f ca="1"/>
        <v>-</v>
      </c>
      <c r="DF8" s="6" t="str">
        <f ca="1"/>
        <v>-</v>
      </c>
      <c r="DG8" s="6" t="str">
        <f ca="1"/>
        <v>-</v>
      </c>
      <c r="DH8" s="6" t="str">
        <f ca="1"/>
        <v>-</v>
      </c>
      <c r="DI8" s="6" t="str">
        <f ca="1"/>
        <v>-</v>
      </c>
      <c r="DJ8" s="6" t="str">
        <f ca="1"/>
        <v>-</v>
      </c>
      <c r="DK8" s="6" t="str">
        <f ca="1"/>
        <v>-</v>
      </c>
      <c r="DL8" s="6" t="str">
        <f ca="1"/>
        <v>-</v>
      </c>
      <c r="DM8" s="6" t="str">
        <f ca="1"/>
        <v>-</v>
      </c>
      <c r="DN8" s="6" t="str">
        <f ca="1"/>
        <v>-</v>
      </c>
      <c r="DO8" s="6" t="str">
        <f ca="1"/>
        <v>-</v>
      </c>
      <c r="DP8" s="6" t="str">
        <f ca="1"/>
        <v>-</v>
      </c>
      <c r="DQ8" s="6" t="str">
        <f ca="1"/>
        <v>-</v>
      </c>
      <c r="DR8" s="6" t="str">
        <f ca="1"/>
        <v>-</v>
      </c>
      <c r="DS8" s="6" t="str">
        <f ca="1"/>
        <v>-</v>
      </c>
      <c r="DT8" s="6" t="str">
        <f ca="1"/>
        <v>-</v>
      </c>
      <c r="DU8" s="6" t="str">
        <f ca="1"/>
        <v>-</v>
      </c>
      <c r="DV8" s="6" t="str">
        <f ca="1"/>
        <v>-</v>
      </c>
      <c r="DW8" s="6" t="str">
        <f ca="1"/>
        <v>-</v>
      </c>
      <c r="DX8" s="6" t="str">
        <f ca="1"/>
        <v>-</v>
      </c>
      <c r="DY8" s="6" t="str">
        <f ca="1"/>
        <v>-</v>
      </c>
      <c r="DZ8" s="6" t="str">
        <f ca="1"/>
        <v>-</v>
      </c>
      <c r="EA8" s="6" t="str">
        <f ca="1"/>
        <v>-</v>
      </c>
      <c r="EB8" s="6" t="str">
        <f ca="1"/>
        <v>-</v>
      </c>
      <c r="EC8" s="6" t="str">
        <f ca="1"/>
        <v>-</v>
      </c>
      <c r="ED8" s="6" t="str">
        <f ca="1"/>
        <v>-</v>
      </c>
      <c r="EE8" s="6" t="str">
        <f ca="1"/>
        <v>-</v>
      </c>
      <c r="EF8" s="6" t="str">
        <f ca="1"/>
        <v>-</v>
      </c>
      <c r="EG8" s="6" t="str">
        <f ca="1"/>
        <v>-</v>
      </c>
      <c r="EH8" s="6" t="str">
        <f ca="1"/>
        <v>-</v>
      </c>
      <c r="EI8" s="6" t="str">
        <f ca="1"/>
        <v>-</v>
      </c>
      <c r="EJ8" s="6" t="str">
        <f ca="1"/>
        <v>-</v>
      </c>
      <c r="EK8" s="6" t="str">
        <f ca="1"/>
        <v>-</v>
      </c>
      <c r="EL8" s="6" t="str">
        <f ca="1"/>
        <v>-</v>
      </c>
      <c r="EM8" s="6" t="str">
        <f ca="1"/>
        <v>-</v>
      </c>
      <c r="EN8" s="6" t="str">
        <f ca="1"/>
        <v>-</v>
      </c>
      <c r="EO8" s="6" t="str">
        <f ca="1"/>
        <v>-</v>
      </c>
      <c r="EP8" s="6" t="str">
        <f ca="1"/>
        <v>-</v>
      </c>
      <c r="EQ8" s="6" t="str">
        <f ca="1"/>
        <v>-</v>
      </c>
      <c r="ER8" s="6" t="str">
        <f ca="1"/>
        <v>-</v>
      </c>
      <c r="ES8" s="6" t="str">
        <f ca="1"/>
        <v>-</v>
      </c>
      <c r="ET8" s="6" t="str">
        <f ca="1"/>
        <v>-</v>
      </c>
      <c r="EU8" s="6" t="str">
        <f ca="1"/>
        <v>-</v>
      </c>
      <c r="EV8" s="6" t="str">
        <f ca="1"/>
        <v>-</v>
      </c>
      <c r="EW8" s="6" t="str">
        <f ca="1"/>
        <v>-</v>
      </c>
      <c r="EX8" s="6" t="str">
        <f ca="1"/>
        <v>-</v>
      </c>
      <c r="EY8" s="6" t="str">
        <f ca="1"/>
        <v>-</v>
      </c>
      <c r="EZ8" s="6" t="str">
        <f ca="1"/>
        <v>-</v>
      </c>
      <c r="FA8" s="6" t="str">
        <f ca="1"/>
        <v>-</v>
      </c>
      <c r="FB8" s="6" t="str">
        <f ca="1"/>
        <v>-</v>
      </c>
      <c r="FC8" s="6" t="str">
        <f ca="1"/>
        <v>-</v>
      </c>
      <c r="FD8" s="6" t="str">
        <f ca="1"/>
        <v>-</v>
      </c>
      <c r="FE8" s="6" t="str">
        <f ca="1"/>
        <v>-</v>
      </c>
      <c r="FF8" s="6" t="str">
        <f ca="1"/>
        <v>-</v>
      </c>
      <c r="FG8" s="6" t="str">
        <f ca="1"/>
        <v>-</v>
      </c>
      <c r="FH8" s="6" t="str">
        <f ca="1"/>
        <v>-</v>
      </c>
      <c r="FI8" s="6" t="str">
        <f ca="1"/>
        <v>-</v>
      </c>
      <c r="FJ8" s="6" t="str">
        <f ca="1"/>
        <v>-</v>
      </c>
      <c r="FK8" s="6" t="str">
        <f ca="1"/>
        <v>-</v>
      </c>
      <c r="FL8" s="6" t="str">
        <f ca="1"/>
        <v>-</v>
      </c>
      <c r="FM8" s="6" t="str">
        <f ca="1"/>
        <v>-</v>
      </c>
      <c r="FN8" s="6" t="str">
        <f ca="1"/>
        <v>-</v>
      </c>
      <c r="FO8" s="6" t="str">
        <f ca="1"/>
        <v>-</v>
      </c>
      <c r="FP8" s="6" t="str">
        <f ca="1"/>
        <v>-</v>
      </c>
      <c r="FQ8" s="6" t="str">
        <f ca="1"/>
        <v>-</v>
      </c>
      <c r="FR8" s="6" t="str">
        <f ca="1"/>
        <v>-</v>
      </c>
      <c r="FS8" s="6" t="str">
        <f ca="1"/>
        <v>-</v>
      </c>
      <c r="FT8" s="6" t="str">
        <f ca="1"/>
        <v>-</v>
      </c>
      <c r="FU8" s="6" t="str">
        <f ca="1"/>
        <v>-</v>
      </c>
      <c r="FV8" s="6" t="str">
        <f ca="1"/>
        <v>-</v>
      </c>
      <c r="FW8" s="6" t="str">
        <f ca="1"/>
        <v>-</v>
      </c>
      <c r="FX8" s="6" t="str">
        <f ca="1"/>
        <v>-</v>
      </c>
      <c r="FY8" s="6" t="str">
        <f ca="1"/>
        <v>-</v>
      </c>
      <c r="FZ8" s="6" t="str">
        <f ca="1"/>
        <v>-</v>
      </c>
      <c r="GA8" s="6" t="str">
        <f ca="1"/>
        <v>-</v>
      </c>
      <c r="GB8" s="6" t="str">
        <f ca="1"/>
        <v>-</v>
      </c>
      <c r="GC8" s="6" t="str">
        <f ca="1"/>
        <v>-</v>
      </c>
      <c r="GD8" s="6" t="str">
        <f ca="1"/>
        <v>-</v>
      </c>
      <c r="GE8" s="6" t="str">
        <f ca="1"/>
        <v>-</v>
      </c>
      <c r="GF8" s="6" t="str">
        <f ca="1"/>
        <v>-</v>
      </c>
      <c r="GG8" s="6" t="str">
        <f ca="1"/>
        <v>-</v>
      </c>
      <c r="GH8" s="6" t="str">
        <f ca="1"/>
        <v>-</v>
      </c>
      <c r="GI8" s="6" t="str">
        <f ca="1"/>
        <v>-</v>
      </c>
      <c r="GJ8" s="6" t="str">
        <f ca="1"/>
        <v>-</v>
      </c>
      <c r="GK8" s="6" t="str">
        <f ca="1"/>
        <v>-</v>
      </c>
      <c r="GL8" s="6" t="str">
        <f ca="1"/>
        <v>-</v>
      </c>
      <c r="GM8" s="6" t="str">
        <f ca="1"/>
        <v>-</v>
      </c>
      <c r="GN8" s="6" t="str">
        <f ca="1"/>
        <v>-</v>
      </c>
      <c r="GO8" s="6" t="str">
        <f ca="1"/>
        <v>-</v>
      </c>
      <c r="GP8" s="6" t="str">
        <f ca="1"/>
        <v>-</v>
      </c>
      <c r="GQ8" s="6" t="str">
        <f ca="1"/>
        <v>-</v>
      </c>
      <c r="GR8" s="6" t="str">
        <f ca="1"/>
        <v>-</v>
      </c>
      <c r="GS8" s="6" t="str">
        <f ca="1"/>
        <v>-</v>
      </c>
      <c r="GT8" s="6" t="str">
        <f ca="1"/>
        <v>-</v>
      </c>
      <c r="GU8" s="6" t="str">
        <f ca="1"/>
        <v>-</v>
      </c>
      <c r="GV8" s="6" t="str">
        <f ca="1"/>
        <v>-</v>
      </c>
      <c r="GW8" s="6" t="str">
        <f ca="1"/>
        <v>-</v>
      </c>
      <c r="GX8" s="6" t="str">
        <f ca="1"/>
        <v>-</v>
      </c>
      <c r="GY8" s="6" t="str">
        <f ca="1"/>
        <v>-</v>
      </c>
      <c r="GZ8" s="6" t="str">
        <f ca="1"/>
        <v>-</v>
      </c>
      <c r="HA8" s="6" t="str">
        <f ca="1"/>
        <v>-</v>
      </c>
      <c r="HB8" s="6" t="str">
        <f ca="1"/>
        <v>-</v>
      </c>
      <c r="HC8" s="6" t="str">
        <f ca="1"/>
        <v>-</v>
      </c>
      <c r="HD8" s="6" t="str">
        <f ca="1"/>
        <v>-</v>
      </c>
      <c r="HE8" s="6" t="str">
        <f ca="1"/>
        <v>-</v>
      </c>
      <c r="HF8" s="6" t="str">
        <f ca="1"/>
        <v>-</v>
      </c>
      <c r="HG8" s="6" t="str">
        <f ca="1"/>
        <v>-</v>
      </c>
      <c r="HH8" s="6" t="str">
        <f ca="1"/>
        <v>-</v>
      </c>
      <c r="HI8" s="6" t="str">
        <f ca="1"/>
        <v>-</v>
      </c>
      <c r="HJ8" s="6" t="str">
        <f ca="1"/>
        <v>-</v>
      </c>
      <c r="HK8" s="6" t="str">
        <f ca="1"/>
        <v>-</v>
      </c>
      <c r="HL8" s="6" t="str">
        <f ca="1"/>
        <v>-</v>
      </c>
      <c r="HM8" s="6" t="str">
        <f ca="1"/>
        <v>-</v>
      </c>
      <c r="HN8" s="6" t="str">
        <f ca="1"/>
        <v>-</v>
      </c>
      <c r="HO8" s="6" t="str">
        <f ca="1"/>
        <v>-</v>
      </c>
      <c r="HP8" s="6" t="str">
        <f ca="1"/>
        <v>-</v>
      </c>
      <c r="HQ8" s="6" t="str">
        <f ca="1"/>
        <v>-</v>
      </c>
      <c r="HR8" s="6" t="str">
        <f ca="1"/>
        <v>-</v>
      </c>
      <c r="HS8" s="6" t="str">
        <f ca="1"/>
        <v>-</v>
      </c>
      <c r="HT8" s="6" t="str">
        <f ca="1"/>
        <v>-</v>
      </c>
      <c r="HU8" s="6" t="str">
        <f ca="1"/>
        <v>-</v>
      </c>
      <c r="HV8" s="6" t="str">
        <f ca="1"/>
        <v>-</v>
      </c>
      <c r="HW8" s="6" t="str">
        <f ca="1"/>
        <v>-</v>
      </c>
      <c r="HX8" s="6" t="str">
        <f ca="1"/>
        <v>-</v>
      </c>
      <c r="HY8" s="6" t="str">
        <f ca="1"/>
        <v>-</v>
      </c>
      <c r="HZ8" s="6" t="str">
        <f ca="1"/>
        <v>-</v>
      </c>
      <c r="IA8" s="6" t="str">
        <f ca="1"/>
        <v>-</v>
      </c>
      <c r="IB8" s="6" t="str">
        <f ca="1"/>
        <v>-</v>
      </c>
      <c r="IC8" s="6" t="str">
        <f ca="1"/>
        <v>-</v>
      </c>
      <c r="ID8" s="6" t="str">
        <f ca="1"/>
        <v>-</v>
      </c>
      <c r="IE8" s="6" t="str">
        <f ca="1"/>
        <v>-</v>
      </c>
      <c r="IF8" s="6" t="str">
        <f ca="1"/>
        <v>-</v>
      </c>
      <c r="IG8" s="6" t="str">
        <f ca="1"/>
        <v>-</v>
      </c>
      <c r="IH8" s="6" t="str">
        <f ca="1"/>
        <v>-</v>
      </c>
      <c r="II8" s="6" t="str">
        <f ca="1"/>
        <v>-</v>
      </c>
      <c r="IJ8" s="6" t="str">
        <f ca="1"/>
        <v>-</v>
      </c>
      <c r="IK8" s="6" t="str">
        <f ca="1"/>
        <v>-</v>
      </c>
      <c r="IL8" s="6" t="str">
        <f ca="1"/>
        <v>-</v>
      </c>
      <c r="IM8" s="6" t="str">
        <f ca="1"/>
        <v>-</v>
      </c>
      <c r="IN8" s="6" t="str">
        <f ca="1"/>
        <v>-</v>
      </c>
      <c r="IO8" s="6" t="str">
        <f ca="1"/>
        <v>-</v>
      </c>
      <c r="IP8" s="6" t="str">
        <f ca="1"/>
        <v>-</v>
      </c>
      <c r="IQ8" s="6" t="str">
        <f ca="1"/>
        <v>-</v>
      </c>
      <c r="IR8" s="6" t="str">
        <f ca="1"/>
        <v>-</v>
      </c>
      <c r="IS8" s="6" t="str">
        <f ca="1"/>
        <v>-</v>
      </c>
      <c r="IT8" s="6" t="str">
        <f ca="1"/>
        <v>-</v>
      </c>
      <c r="IU8" s="6" t="str">
        <f ca="1"/>
        <v>-</v>
      </c>
      <c r="IV8" s="6" t="str">
        <f ca="1"/>
        <v>-</v>
      </c>
      <c r="IW8" s="6" t="str">
        <f ca="1"/>
        <v>-</v>
      </c>
      <c r="IX8" s="6" t="str">
        <f ca="1"/>
        <v>-</v>
      </c>
      <c r="IY8" s="6" t="str">
        <f ca="1"/>
        <v>-</v>
      </c>
      <c r="IZ8" s="6" t="str">
        <f ca="1"/>
        <v>-</v>
      </c>
    </row>
    <row r="9" spans="2:260" x14ac:dyDescent="0.25">
      <c r="B9" s="7" t="s">
        <v>8</v>
      </c>
      <c r="D9" s="6" cm="1">
        <f t="array" aca="1" ref="D9:IZ9" ca="1">dl_Get_Hist(B9,isin_list,historic_data)</f>
        <v>404.56099999999998</v>
      </c>
      <c r="E9" s="6">
        <f ca="1"/>
        <v>408.98099999999999</v>
      </c>
      <c r="F9" s="6">
        <f ca="1"/>
        <v>416.42399999999998</v>
      </c>
      <c r="G9" s="6">
        <f ca="1"/>
        <v>404.315</v>
      </c>
      <c r="H9" s="6">
        <f ca="1"/>
        <v>399.42899999999997</v>
      </c>
      <c r="I9" s="6">
        <f ca="1"/>
        <v>396.84199999999998</v>
      </c>
      <c r="J9" s="6">
        <f ca="1"/>
        <v>395.59899999999999</v>
      </c>
      <c r="K9" s="6">
        <f ca="1"/>
        <v>392.07400000000001</v>
      </c>
      <c r="L9" s="6">
        <f ca="1"/>
        <v>382.06099999999998</v>
      </c>
      <c r="M9" s="6">
        <f ca="1"/>
        <v>382.69799999999998</v>
      </c>
      <c r="N9" s="6">
        <f ca="1"/>
        <v>390.471</v>
      </c>
      <c r="O9" s="6">
        <f ca="1"/>
        <v>399.63799999999998</v>
      </c>
      <c r="P9" s="6">
        <f ca="1"/>
        <v>400.80700000000002</v>
      </c>
      <c r="Q9" s="6">
        <f ca="1"/>
        <v>408.44900000000001</v>
      </c>
      <c r="R9" s="6">
        <f ca="1"/>
        <v>418.34699999999998</v>
      </c>
      <c r="S9" s="6">
        <f ca="1"/>
        <v>422.94799999999998</v>
      </c>
      <c r="T9" s="6">
        <f ca="1"/>
        <v>429.911</v>
      </c>
      <c r="U9" s="6">
        <f ca="1"/>
        <v>419.96600000000001</v>
      </c>
      <c r="V9" s="6">
        <f ca="1"/>
        <v>409.49299999999999</v>
      </c>
      <c r="W9" s="6">
        <f ca="1"/>
        <v>409.64100000000002</v>
      </c>
      <c r="X9" s="6">
        <f ca="1"/>
        <v>404.161</v>
      </c>
      <c r="Y9" s="6">
        <f ca="1"/>
        <v>387.73500000000001</v>
      </c>
      <c r="Z9" s="6">
        <f ca="1"/>
        <v>387.77100000000002</v>
      </c>
      <c r="AA9" s="6">
        <f ca="1"/>
        <v>388.20800000000003</v>
      </c>
      <c r="AB9" s="6">
        <f ca="1"/>
        <v>392.166</v>
      </c>
      <c r="AC9" s="6">
        <f ca="1"/>
        <v>393.61700000000002</v>
      </c>
      <c r="AD9" s="6">
        <f ca="1"/>
        <v>393.91399999999999</v>
      </c>
      <c r="AE9" s="6">
        <f ca="1"/>
        <v>389.714</v>
      </c>
      <c r="AF9" s="6">
        <f ca="1"/>
        <v>393.66500000000002</v>
      </c>
      <c r="AG9" s="6">
        <f ca="1"/>
        <v>394.79399999999998</v>
      </c>
      <c r="AH9" s="6">
        <f ca="1"/>
        <v>390.29599999999999</v>
      </c>
      <c r="AI9" s="6">
        <f ca="1"/>
        <v>388.98700000000002</v>
      </c>
      <c r="AJ9" s="6">
        <f ca="1"/>
        <v>386.83199999999999</v>
      </c>
      <c r="AK9" s="6">
        <f ca="1"/>
        <v>385.26799999999997</v>
      </c>
      <c r="AL9" s="6">
        <f ca="1"/>
        <v>390.30700000000002</v>
      </c>
      <c r="AM9" s="6">
        <f ca="1"/>
        <v>388.62599999999998</v>
      </c>
      <c r="AN9" s="6">
        <f ca="1"/>
        <v>389.65</v>
      </c>
      <c r="AO9" s="6">
        <f ca="1"/>
        <v>389.68599999999998</v>
      </c>
      <c r="AP9" s="6">
        <f ca="1"/>
        <v>382.524</v>
      </c>
      <c r="AQ9" s="6">
        <f ca="1"/>
        <v>377.33300000000003</v>
      </c>
      <c r="AR9" s="6">
        <f ca="1"/>
        <v>386.94499999999999</v>
      </c>
      <c r="AS9" s="6">
        <f ca="1"/>
        <v>400.495</v>
      </c>
      <c r="AT9" s="6">
        <f ca="1"/>
        <v>404.82400000000001</v>
      </c>
      <c r="AU9" s="6">
        <f ca="1"/>
        <v>403.86099999999999</v>
      </c>
      <c r="AV9" s="6">
        <f ca="1"/>
        <v>403.80900000000003</v>
      </c>
      <c r="AW9" s="6">
        <f ca="1"/>
        <v>399.49400000000003</v>
      </c>
      <c r="AX9" s="6">
        <f ca="1"/>
        <v>386.19</v>
      </c>
      <c r="AY9" s="6">
        <f ca="1"/>
        <v>379.47899999999998</v>
      </c>
      <c r="AZ9" s="6">
        <f ca="1"/>
        <v>378.74700000000001</v>
      </c>
      <c r="BA9" s="6">
        <f ca="1"/>
        <v>381.23200000000003</v>
      </c>
      <c r="BB9" s="6">
        <f ca="1"/>
        <v>394.29399999999998</v>
      </c>
      <c r="BC9" s="6">
        <f ca="1"/>
        <v>399.19200000000001</v>
      </c>
      <c r="BD9" s="6">
        <f ca="1"/>
        <v>407.38799999999998</v>
      </c>
      <c r="BE9" s="6">
        <f ca="1"/>
        <v>409.89800000000002</v>
      </c>
      <c r="BF9" s="6">
        <f ca="1"/>
        <v>420.50400000000002</v>
      </c>
      <c r="BG9" s="6">
        <f ca="1"/>
        <v>422.2</v>
      </c>
      <c r="BH9" s="6">
        <f ca="1"/>
        <v>418.65100000000001</v>
      </c>
      <c r="BI9" s="6">
        <f ca="1"/>
        <v>417.13299999999998</v>
      </c>
      <c r="BJ9" s="6">
        <f ca="1"/>
        <v>401.67899999999997</v>
      </c>
      <c r="BK9" s="6">
        <f ca="1"/>
        <v>398.75299999999999</v>
      </c>
      <c r="BL9" s="6">
        <f ca="1"/>
        <v>393.15100000000001</v>
      </c>
      <c r="BM9" s="6">
        <f ca="1"/>
        <v>387.65499999999997</v>
      </c>
      <c r="BN9" s="6">
        <f ca="1"/>
        <v>386.60199999999998</v>
      </c>
      <c r="BO9" s="6">
        <f ca="1"/>
        <v>388.18299999999999</v>
      </c>
      <c r="BP9" s="6">
        <f ca="1"/>
        <v>383.959</v>
      </c>
      <c r="BQ9" s="6">
        <f ca="1"/>
        <v>403.65699999999998</v>
      </c>
      <c r="BR9" s="6">
        <f ca="1"/>
        <v>412.00700000000001</v>
      </c>
      <c r="BS9" s="6">
        <f ca="1"/>
        <v>418.50799999999998</v>
      </c>
      <c r="BT9" s="6">
        <f ca="1"/>
        <v>417.40800000000002</v>
      </c>
      <c r="BU9" s="6">
        <f ca="1"/>
        <v>420.81400000000002</v>
      </c>
      <c r="BV9" s="6">
        <f ca="1"/>
        <v>418.69600000000003</v>
      </c>
      <c r="BW9" s="6">
        <f ca="1"/>
        <v>422.99099999999999</v>
      </c>
      <c r="BX9" s="6">
        <f ca="1"/>
        <v>419.06700000000001</v>
      </c>
      <c r="BY9" s="6">
        <f ca="1"/>
        <v>417.04</v>
      </c>
      <c r="BZ9" s="6">
        <f ca="1"/>
        <v>415.07799999999997</v>
      </c>
      <c r="CA9" s="6">
        <f ca="1"/>
        <v>415.79300000000001</v>
      </c>
      <c r="CB9" s="6">
        <f ca="1"/>
        <v>419.39</v>
      </c>
      <c r="CC9" s="6">
        <f ca="1"/>
        <v>421.24</v>
      </c>
      <c r="CD9" s="6">
        <f ca="1"/>
        <v>421.21100000000001</v>
      </c>
      <c r="CE9" s="6">
        <f ca="1"/>
        <v>426.07499999999999</v>
      </c>
      <c r="CF9" s="6">
        <f ca="1"/>
        <v>430.23</v>
      </c>
      <c r="CG9" s="6">
        <f ca="1"/>
        <v>428.54599999999999</v>
      </c>
      <c r="CH9" s="6">
        <f ca="1"/>
        <v>425.57400000000001</v>
      </c>
      <c r="CI9" s="6">
        <f ca="1"/>
        <v>420.84800000000001</v>
      </c>
      <c r="CJ9" s="6">
        <f ca="1"/>
        <v>412.80500000000001</v>
      </c>
      <c r="CK9" s="6">
        <f ca="1"/>
        <v>420.238</v>
      </c>
      <c r="CL9" s="6">
        <f ca="1"/>
        <v>410.58800000000002</v>
      </c>
      <c r="CM9" s="6">
        <f ca="1"/>
        <v>408.50200000000001</v>
      </c>
      <c r="CN9" s="6">
        <f ca="1"/>
        <v>395.67099999999999</v>
      </c>
      <c r="CO9" s="6">
        <f ca="1"/>
        <v>388.29399999999998</v>
      </c>
      <c r="CP9" s="6">
        <f ca="1"/>
        <v>402.73399999999998</v>
      </c>
      <c r="CQ9" s="6">
        <f ca="1"/>
        <v>400.10899999999998</v>
      </c>
      <c r="CR9" s="6">
        <f ca="1"/>
        <v>410.36500000000001</v>
      </c>
      <c r="CS9" s="6">
        <f ca="1"/>
        <v>384.416</v>
      </c>
      <c r="CT9" s="6">
        <f ca="1"/>
        <v>365.13400000000001</v>
      </c>
      <c r="CU9" s="6">
        <f ca="1"/>
        <v>348.875</v>
      </c>
      <c r="CV9" s="6">
        <f ca="1"/>
        <v>361.24700000000001</v>
      </c>
      <c r="CW9" s="6">
        <f ca="1"/>
        <v>399.08199999999999</v>
      </c>
      <c r="CX9" s="6">
        <f ca="1"/>
        <v>410.41199999999998</v>
      </c>
      <c r="CY9" s="6">
        <f ca="1"/>
        <v>431.89</v>
      </c>
      <c r="CZ9" s="6">
        <f ca="1"/>
        <v>438.6</v>
      </c>
      <c r="DA9" s="6">
        <f ca="1"/>
        <v>439.28399999999999</v>
      </c>
      <c r="DB9" s="6">
        <f ca="1"/>
        <v>428.733</v>
      </c>
      <c r="DC9" s="6">
        <f ca="1"/>
        <v>428.017</v>
      </c>
      <c r="DD9" s="6">
        <f ca="1"/>
        <v>438.84199999999998</v>
      </c>
      <c r="DE9" s="6">
        <f ca="1"/>
        <v>442.55900000000003</v>
      </c>
      <c r="DF9" s="6">
        <f ca="1"/>
        <v>452.53899999999999</v>
      </c>
      <c r="DG9" s="6">
        <f ca="1"/>
        <v>452.18799999999999</v>
      </c>
      <c r="DH9" s="6">
        <f ca="1"/>
        <v>457.24</v>
      </c>
      <c r="DI9" s="6">
        <f ca="1"/>
        <v>466.19499999999999</v>
      </c>
      <c r="DJ9" s="6">
        <f ca="1"/>
        <v>485.245</v>
      </c>
      <c r="DK9" s="6">
        <f ca="1"/>
        <v>497.04199999999997</v>
      </c>
      <c r="DL9" s="6">
        <f ca="1"/>
        <v>499.05099999999999</v>
      </c>
      <c r="DM9" s="6">
        <f ca="1"/>
        <v>491.50299999999999</v>
      </c>
      <c r="DN9" s="6">
        <f ca="1"/>
        <v>487.65899999999999</v>
      </c>
      <c r="DO9" s="6">
        <f ca="1"/>
        <v>488.44499999999999</v>
      </c>
      <c r="DP9" s="6">
        <f ca="1"/>
        <v>489.40699999999998</v>
      </c>
      <c r="DQ9" s="6">
        <f ca="1"/>
        <v>498.19499999999999</v>
      </c>
      <c r="DR9" s="6">
        <f ca="1"/>
        <v>499.267</v>
      </c>
      <c r="DS9" s="6">
        <f ca="1"/>
        <v>505.21899999999999</v>
      </c>
      <c r="DT9" s="6">
        <f ca="1"/>
        <v>510.40499999999997</v>
      </c>
      <c r="DU9" s="6">
        <f ca="1"/>
        <v>491.00900000000001</v>
      </c>
      <c r="DV9" s="6">
        <f ca="1"/>
        <v>482.70800000000003</v>
      </c>
      <c r="DW9" s="6">
        <f ca="1"/>
        <v>471.495</v>
      </c>
      <c r="DX9" s="6">
        <f ca="1"/>
        <v>459.69400000000002</v>
      </c>
      <c r="DY9" s="6">
        <f ca="1"/>
        <v>448.90800000000002</v>
      </c>
      <c r="DZ9" s="6">
        <f ca="1"/>
        <v>466.28800000000001</v>
      </c>
      <c r="EA9" s="6">
        <f ca="1"/>
        <v>467.69299999999998</v>
      </c>
      <c r="EB9" s="6">
        <f ca="1"/>
        <v>507.67700000000002</v>
      </c>
      <c r="EC9" s="6">
        <f ca="1"/>
        <v>519.16600000000005</v>
      </c>
      <c r="ED9" s="6">
        <f ca="1"/>
        <v>501.46</v>
      </c>
      <c r="EE9" s="6">
        <f ca="1"/>
        <v>491.32799999999997</v>
      </c>
      <c r="EF9" s="6">
        <f ca="1"/>
        <v>482.19600000000003</v>
      </c>
      <c r="EG9" s="6">
        <f ca="1"/>
        <v>459.255</v>
      </c>
      <c r="EH9" s="6">
        <f ca="1"/>
        <v>445.60899999999998</v>
      </c>
      <c r="EI9" s="6">
        <f ca="1"/>
        <v>492.375</v>
      </c>
      <c r="EJ9" s="6">
        <f ca="1"/>
        <v>544.66700000000003</v>
      </c>
      <c r="EK9" s="6">
        <f ca="1"/>
        <v>569.32100000000003</v>
      </c>
      <c r="EL9" s="6">
        <f ca="1"/>
        <v>624.41800000000001</v>
      </c>
      <c r="EM9" s="6">
        <f ca="1"/>
        <v>636.68299999999999</v>
      </c>
      <c r="EN9" s="6">
        <f ca="1"/>
        <v>624.54399999999998</v>
      </c>
      <c r="EO9" s="6">
        <f ca="1"/>
        <v>601.721</v>
      </c>
      <c r="EP9" s="6">
        <f ca="1"/>
        <v>589.22900000000004</v>
      </c>
      <c r="EQ9" s="6">
        <f ca="1"/>
        <v>569.16700000000003</v>
      </c>
      <c r="ER9" s="6">
        <f ca="1"/>
        <v>540.19200000000001</v>
      </c>
      <c r="ES9" s="6">
        <f ca="1"/>
        <v>502.822</v>
      </c>
      <c r="ET9" s="6">
        <f ca="1"/>
        <v>496.46100000000001</v>
      </c>
      <c r="EU9" s="6">
        <f ca="1"/>
        <v>607.86400000000003</v>
      </c>
      <c r="EV9" s="6">
        <f ca="1"/>
        <v>656.39800000000002</v>
      </c>
      <c r="EW9" s="6">
        <f ca="1"/>
        <v>641.27700000000004</v>
      </c>
      <c r="EX9" s="6">
        <f ca="1"/>
        <v>718.14</v>
      </c>
      <c r="EY9" s="6">
        <f ca="1"/>
        <v>704.66800000000001</v>
      </c>
      <c r="EZ9" s="6">
        <f ca="1"/>
        <v>657.10699999999997</v>
      </c>
      <c r="FA9" s="6">
        <f ca="1"/>
        <v>565.75400000000002</v>
      </c>
      <c r="FB9" s="6">
        <f ca="1"/>
        <v>484.63799999999998</v>
      </c>
      <c r="FC9" s="6">
        <f ca="1"/>
        <v>482.65699999999998</v>
      </c>
      <c r="FD9" s="6">
        <f ca="1"/>
        <v>401.053</v>
      </c>
      <c r="FE9" s="6">
        <f ca="1"/>
        <v>395.59500000000003</v>
      </c>
      <c r="FF9" s="6">
        <f ca="1"/>
        <v>411.33800000000002</v>
      </c>
      <c r="FG9" s="6">
        <f ca="1"/>
        <v>359.49599999999998</v>
      </c>
      <c r="FH9" s="6">
        <f ca="1"/>
        <v>328.35300000000001</v>
      </c>
      <c r="FI9" s="6">
        <f ca="1"/>
        <v>310.95699999999999</v>
      </c>
      <c r="FJ9" s="6">
        <f ca="1"/>
        <v>317.83499999999998</v>
      </c>
      <c r="FK9" s="6">
        <f ca="1"/>
        <v>344.84899999999999</v>
      </c>
      <c r="FL9" s="6">
        <f ca="1"/>
        <v>347.12200000000001</v>
      </c>
      <c r="FM9" s="6">
        <f ca="1"/>
        <v>324.589</v>
      </c>
      <c r="FN9" s="6">
        <f ca="1"/>
        <v>304.53699999999998</v>
      </c>
      <c r="FO9" s="6">
        <f ca="1"/>
        <v>301.70299999999997</v>
      </c>
      <c r="FP9" s="6">
        <f ca="1"/>
        <v>295.85899999999998</v>
      </c>
      <c r="FQ9" s="6">
        <f ca="1"/>
        <v>277.78300000000002</v>
      </c>
      <c r="FR9" s="6">
        <f ca="1"/>
        <v>278.66800000000001</v>
      </c>
      <c r="FS9" s="6">
        <f ca="1"/>
        <v>277.98899999999998</v>
      </c>
      <c r="FT9" s="6">
        <f ca="1"/>
        <v>279.245</v>
      </c>
      <c r="FU9" s="6">
        <f ca="1"/>
        <v>276.37400000000002</v>
      </c>
      <c r="FV9" s="6">
        <f ca="1"/>
        <v>276.21300000000002</v>
      </c>
      <c r="FW9" s="6">
        <f ca="1"/>
        <v>275.39100000000002</v>
      </c>
      <c r="FX9" s="6">
        <f ca="1"/>
        <v>272.53100000000001</v>
      </c>
      <c r="FY9" s="6">
        <f ca="1"/>
        <v>276.166</v>
      </c>
      <c r="FZ9" s="6">
        <f ca="1"/>
        <v>278.74400000000003</v>
      </c>
      <c r="GA9" s="6">
        <f ca="1"/>
        <v>273.15699999999998</v>
      </c>
      <c r="GB9" s="6">
        <f ca="1"/>
        <v>268.94</v>
      </c>
      <c r="GC9" s="6">
        <f ca="1"/>
        <v>271.22199999999998</v>
      </c>
      <c r="GD9" s="6">
        <f ca="1"/>
        <v>280.69799999999998</v>
      </c>
      <c r="GE9" s="6">
        <f ca="1"/>
        <v>289.23399999999998</v>
      </c>
      <c r="GF9" s="6">
        <f ca="1"/>
        <v>288.41399999999999</v>
      </c>
      <c r="GG9" s="6">
        <f ca="1"/>
        <v>285.92099999999999</v>
      </c>
      <c r="GH9" s="6">
        <f ca="1"/>
        <v>280.38400000000001</v>
      </c>
      <c r="GI9" s="6">
        <f ca="1"/>
        <v>283.30200000000002</v>
      </c>
      <c r="GJ9" s="6">
        <f ca="1"/>
        <v>290.5</v>
      </c>
      <c r="GK9" s="6">
        <f ca="1"/>
        <v>278.68099999999998</v>
      </c>
      <c r="GL9" s="6">
        <f ca="1"/>
        <v>275.892</v>
      </c>
      <c r="GM9" s="6">
        <f ca="1"/>
        <v>269.21499999999997</v>
      </c>
      <c r="GN9" s="6">
        <f ca="1"/>
        <v>270.29399999999998</v>
      </c>
      <c r="GO9" s="6">
        <f ca="1"/>
        <v>268.86</v>
      </c>
      <c r="GP9" s="6">
        <f ca="1"/>
        <v>272.22500000000002</v>
      </c>
      <c r="GQ9" s="6">
        <f ca="1"/>
        <v>278.40699999999998</v>
      </c>
      <c r="GR9" s="6">
        <f ca="1"/>
        <v>281.25599999999997</v>
      </c>
      <c r="GS9" s="6">
        <f ca="1"/>
        <v>279.416</v>
      </c>
      <c r="GT9" s="6">
        <f ca="1"/>
        <v>279.19</v>
      </c>
      <c r="GU9" s="6">
        <f ca="1"/>
        <v>283.17599999999999</v>
      </c>
      <c r="GV9" s="6">
        <f ca="1"/>
        <v>283.71600000000001</v>
      </c>
      <c r="GW9" s="6">
        <f ca="1"/>
        <v>290.154</v>
      </c>
      <c r="GX9" s="6">
        <f ca="1"/>
        <v>290.13</v>
      </c>
      <c r="GY9" s="6">
        <f ca="1"/>
        <v>287.363</v>
      </c>
      <c r="GZ9" s="6">
        <f ca="1"/>
        <v>283.59800000000001</v>
      </c>
      <c r="HA9" s="6">
        <f ca="1"/>
        <v>275.57499999999999</v>
      </c>
      <c r="HB9" s="6">
        <f ca="1"/>
        <v>271.24</v>
      </c>
      <c r="HC9" s="6">
        <f ca="1"/>
        <v>271.80799999999999</v>
      </c>
      <c r="HD9" s="6">
        <f ca="1"/>
        <v>276.61799999999999</v>
      </c>
      <c r="HE9" s="6">
        <f ca="1"/>
        <v>275.96300000000002</v>
      </c>
      <c r="HF9" s="6">
        <f ca="1"/>
        <v>276.065</v>
      </c>
      <c r="HG9" s="6">
        <f ca="1"/>
        <v>278.55599999999998</v>
      </c>
      <c r="HH9" s="6">
        <f ca="1"/>
        <v>277.42099999999999</v>
      </c>
      <c r="HI9" s="6">
        <f ca="1"/>
        <v>279.666</v>
      </c>
      <c r="HJ9" s="6">
        <f ca="1"/>
        <v>284.32</v>
      </c>
      <c r="HK9" s="6">
        <f ca="1"/>
        <v>284.11799999999999</v>
      </c>
      <c r="HL9" s="6">
        <f ca="1"/>
        <v>285.27199999999999</v>
      </c>
      <c r="HM9" s="6">
        <f ca="1"/>
        <v>285.70699999999999</v>
      </c>
      <c r="HN9" s="6">
        <f ca="1"/>
        <v>287.41800000000001</v>
      </c>
      <c r="HO9" s="6">
        <f ca="1"/>
        <v>283.09899999999999</v>
      </c>
      <c r="HP9" s="6">
        <f ca="1"/>
        <v>284.798</v>
      </c>
      <c r="HQ9" s="6">
        <f ca="1"/>
        <v>292.12700000000001</v>
      </c>
      <c r="HR9" s="6">
        <f ca="1"/>
        <v>296.77300000000002</v>
      </c>
      <c r="HS9" s="6">
        <f ca="1"/>
        <v>305.387</v>
      </c>
      <c r="HT9" s="6">
        <f ca="1"/>
        <v>309.435</v>
      </c>
      <c r="HU9" s="6">
        <f ca="1"/>
        <v>299.84199999999998</v>
      </c>
      <c r="HV9" s="6">
        <f ca="1"/>
        <v>304.69600000000003</v>
      </c>
      <c r="HW9" s="6">
        <f ca="1"/>
        <v>305.17500000000001</v>
      </c>
      <c r="HX9" s="6">
        <f ca="1"/>
        <v>304.245</v>
      </c>
      <c r="HY9" s="6">
        <f ca="1"/>
        <v>303.70800000000003</v>
      </c>
      <c r="HZ9" s="6">
        <f ca="1"/>
        <v>306.25400000000002</v>
      </c>
      <c r="IA9" s="6">
        <f ca="1"/>
        <v>316.46800000000002</v>
      </c>
      <c r="IB9" s="6">
        <f ca="1"/>
        <v>319.22300000000001</v>
      </c>
      <c r="IC9" s="6">
        <f ca="1"/>
        <v>320.89600000000002</v>
      </c>
      <c r="ID9" s="6">
        <f ca="1"/>
        <v>316.42099999999999</v>
      </c>
      <c r="IE9" s="6">
        <f ca="1"/>
        <v>315.923</v>
      </c>
      <c r="IF9" s="6">
        <f ca="1"/>
        <v>316.20100000000002</v>
      </c>
      <c r="IG9" s="6">
        <f ca="1"/>
        <v>319.29199999999997</v>
      </c>
      <c r="IH9" s="6">
        <f ca="1"/>
        <v>316.82400000000001</v>
      </c>
      <c r="II9" s="6">
        <f ca="1"/>
        <v>311.73099999999999</v>
      </c>
      <c r="IJ9" s="6">
        <f ca="1"/>
        <v>312.25599999999997</v>
      </c>
      <c r="IK9" s="6">
        <f ca="1"/>
        <v>311.04899999999998</v>
      </c>
      <c r="IL9" s="6">
        <f ca="1"/>
        <v>303.30700000000002</v>
      </c>
      <c r="IM9" s="6">
        <f ca="1"/>
        <v>302.06200000000001</v>
      </c>
      <c r="IN9" s="6">
        <f ca="1"/>
        <v>296.279</v>
      </c>
      <c r="IO9" s="6">
        <f ca="1"/>
        <v>307.791</v>
      </c>
      <c r="IP9" s="6">
        <f ca="1"/>
        <v>323.09699999999998</v>
      </c>
      <c r="IQ9" s="6">
        <f ca="1"/>
        <v>326.72899999999998</v>
      </c>
      <c r="IR9" s="6">
        <f ca="1"/>
        <v>322.62299999999999</v>
      </c>
      <c r="IS9" s="6">
        <f ca="1"/>
        <v>317.15699999999998</v>
      </c>
      <c r="IT9" s="6">
        <f ca="1"/>
        <v>311.06</v>
      </c>
      <c r="IU9" s="6">
        <f ca="1"/>
        <v>314.315</v>
      </c>
      <c r="IV9" s="6">
        <f ca="1"/>
        <v>320.00400000000002</v>
      </c>
      <c r="IW9" s="6">
        <f ca="1"/>
        <v>322.46100000000001</v>
      </c>
      <c r="IX9" s="6">
        <f ca="1"/>
        <v>320.70299999999997</v>
      </c>
      <c r="IY9" s="6">
        <f ca="1"/>
        <v>320.58600000000001</v>
      </c>
      <c r="IZ9" s="6" t="str">
        <f ca="1"/>
        <v>-</v>
      </c>
    </row>
    <row r="11" spans="2:260" x14ac:dyDescent="0.25">
      <c r="B11" t="s">
        <v>47</v>
      </c>
      <c r="D11" s="6" cm="1">
        <f t="array" aca="1" ref="D11:IZ11" ca="1">IFERROR(_xlfn.ANCHORARRAY(D8)-_xlfn.ANCHORARRAY(D9),"-")</f>
        <v>-106.89699999999999</v>
      </c>
      <c r="E11" s="6">
        <f ca="1"/>
        <v>-105.72800000000001</v>
      </c>
      <c r="F11" s="6">
        <f ca="1"/>
        <v>-108.702</v>
      </c>
      <c r="G11" s="6">
        <f ca="1"/>
        <v>-100.24099999999999</v>
      </c>
      <c r="H11" s="6">
        <f ca="1"/>
        <v>-96.644999999999982</v>
      </c>
      <c r="I11" s="6">
        <f ca="1"/>
        <v>-93.233000000000004</v>
      </c>
      <c r="J11" s="6">
        <f ca="1"/>
        <v>-91.105999999999995</v>
      </c>
      <c r="K11" s="6">
        <f ca="1"/>
        <v>-88.737000000000023</v>
      </c>
      <c r="L11" s="6">
        <f ca="1"/>
        <v>-87.894999999999982</v>
      </c>
      <c r="M11" s="6">
        <f ca="1"/>
        <v>-90.355999999999995</v>
      </c>
      <c r="N11" s="6">
        <f ca="1"/>
        <v>-89.968999999999994</v>
      </c>
      <c r="O11" s="6">
        <f ca="1"/>
        <v>-91.546999999999969</v>
      </c>
      <c r="P11" s="6">
        <f ca="1"/>
        <v>-98.215000000000032</v>
      </c>
      <c r="Q11" s="6">
        <f ca="1"/>
        <v>-103.75999999999999</v>
      </c>
      <c r="R11" s="6">
        <f ca="1"/>
        <v>-106.25099999999998</v>
      </c>
      <c r="S11" s="6">
        <f ca="1"/>
        <v>-106.548</v>
      </c>
      <c r="T11" s="6">
        <f ca="1"/>
        <v>-106.66300000000001</v>
      </c>
      <c r="U11" s="6">
        <f ca="1"/>
        <v>-103.548</v>
      </c>
      <c r="V11" s="6">
        <f ca="1"/>
        <v>-108.05899999999997</v>
      </c>
      <c r="W11" s="6">
        <f ca="1"/>
        <v>-105.678</v>
      </c>
      <c r="X11" s="6">
        <f ca="1"/>
        <v>-89.622000000000014</v>
      </c>
      <c r="Y11" s="6">
        <f ca="1"/>
        <v>-100.23200000000003</v>
      </c>
      <c r="Z11" s="6">
        <f ca="1"/>
        <v>-100.524</v>
      </c>
      <c r="AA11" s="6">
        <f ca="1"/>
        <v>-96.27800000000002</v>
      </c>
      <c r="AB11" s="6">
        <f ca="1"/>
        <v>-90.449000000000012</v>
      </c>
      <c r="AC11" s="6">
        <f ca="1"/>
        <v>-87.963999999999999</v>
      </c>
      <c r="AD11" s="6">
        <f ca="1"/>
        <v>-92.185999999999979</v>
      </c>
      <c r="AE11" s="6">
        <f ca="1"/>
        <v>-94.360000000000014</v>
      </c>
      <c r="AF11" s="6">
        <f ca="1"/>
        <v>-97.826000000000022</v>
      </c>
      <c r="AG11" s="6">
        <f ca="1"/>
        <v>-104.84699999999998</v>
      </c>
      <c r="AH11" s="6">
        <f ca="1"/>
        <v>-107.339</v>
      </c>
      <c r="AI11" s="6">
        <f ca="1"/>
        <v>-108.78500000000003</v>
      </c>
      <c r="AJ11" s="6">
        <f ca="1"/>
        <v>-106.11399999999998</v>
      </c>
      <c r="AK11" s="6">
        <f ca="1"/>
        <v>-100.91999999999996</v>
      </c>
      <c r="AL11" s="6">
        <f ca="1"/>
        <v>-103.221</v>
      </c>
      <c r="AM11" s="6">
        <f ca="1"/>
        <v>-104.86899999999997</v>
      </c>
      <c r="AN11" s="6">
        <f ca="1"/>
        <v>-102.12299999999999</v>
      </c>
      <c r="AO11" s="6">
        <f ca="1"/>
        <v>-104.34799999999996</v>
      </c>
      <c r="AP11" s="6">
        <f ca="1"/>
        <v>-102.56400000000002</v>
      </c>
      <c r="AQ11" s="6">
        <f ca="1"/>
        <v>-98.386000000000024</v>
      </c>
      <c r="AR11" s="6">
        <f ca="1"/>
        <v>-101.68399999999997</v>
      </c>
      <c r="AS11" s="6">
        <f ca="1"/>
        <v>-109.363</v>
      </c>
      <c r="AT11" s="6">
        <f ca="1"/>
        <v>-113.834</v>
      </c>
      <c r="AU11" s="6">
        <f ca="1"/>
        <v>-117.86099999999999</v>
      </c>
      <c r="AV11" s="6">
        <f ca="1"/>
        <v>-118.26700000000005</v>
      </c>
      <c r="AW11" s="6">
        <f ca="1"/>
        <v>-118.53700000000003</v>
      </c>
      <c r="AX11" s="6">
        <f ca="1"/>
        <v>-111.69</v>
      </c>
      <c r="AY11" s="6">
        <f ca="1"/>
        <v>-112.00599999999997</v>
      </c>
      <c r="AZ11" s="6">
        <f ca="1"/>
        <v>-110.49700000000001</v>
      </c>
      <c r="BA11" s="6">
        <f ca="1"/>
        <v>-108.47600000000006</v>
      </c>
      <c r="BB11" s="6">
        <f ca="1"/>
        <v>-113.37799999999999</v>
      </c>
      <c r="BC11" s="6">
        <f ca="1"/>
        <v>-116.93</v>
      </c>
      <c r="BD11" s="6">
        <f ca="1"/>
        <v>-122.69599999999997</v>
      </c>
      <c r="BE11" s="6">
        <f ca="1"/>
        <v>-126.60500000000002</v>
      </c>
      <c r="BF11" s="6">
        <f ca="1"/>
        <v>-113.70500000000004</v>
      </c>
      <c r="BG11" s="6">
        <f ca="1"/>
        <v>-105.63599999999997</v>
      </c>
      <c r="BH11" s="6">
        <f ca="1"/>
        <v>-101.351</v>
      </c>
      <c r="BI11" s="6">
        <f ca="1"/>
        <v>-106.45699999999999</v>
      </c>
      <c r="BJ11" s="6">
        <f ca="1"/>
        <v>-104.827</v>
      </c>
      <c r="BK11" s="6">
        <f ca="1"/>
        <v>-101.74700000000001</v>
      </c>
      <c r="BL11" s="6">
        <f ca="1"/>
        <v>-103.72500000000002</v>
      </c>
      <c r="BM11" s="6">
        <f ca="1"/>
        <v>-99.757999999999981</v>
      </c>
      <c r="BN11" s="6">
        <f ca="1"/>
        <v>-97.265999999999963</v>
      </c>
      <c r="BO11" s="6">
        <f ca="1"/>
        <v>-93.997000000000014</v>
      </c>
      <c r="BP11" s="6">
        <f ca="1"/>
        <v>-96.430999999999983</v>
      </c>
      <c r="BQ11" s="6">
        <f ca="1"/>
        <v>-98.740999999999985</v>
      </c>
      <c r="BR11" s="6">
        <f ca="1"/>
        <v>-97.165999999999997</v>
      </c>
      <c r="BS11" s="6">
        <f ca="1"/>
        <v>-98.948999999999955</v>
      </c>
      <c r="BT11" s="6">
        <f ca="1"/>
        <v>-96.455000000000041</v>
      </c>
      <c r="BU11" s="6">
        <f ca="1"/>
        <v>-91.317000000000007</v>
      </c>
      <c r="BV11" s="6">
        <f ca="1"/>
        <v>-90.40500000000003</v>
      </c>
      <c r="BW11" s="6">
        <f ca="1"/>
        <v>-89.642999999999972</v>
      </c>
      <c r="BX11" s="6">
        <f ca="1"/>
        <v>-91.23399999999998</v>
      </c>
      <c r="BY11" s="6">
        <f ca="1"/>
        <v>-91.133000000000038</v>
      </c>
      <c r="BZ11" s="6">
        <f ca="1"/>
        <v>-95.885999999999967</v>
      </c>
      <c r="CA11" s="6">
        <f ca="1"/>
        <v>-97.614000000000033</v>
      </c>
      <c r="CB11" s="6">
        <f ca="1"/>
        <v>-96.180999999999983</v>
      </c>
      <c r="CC11" s="6">
        <f ca="1"/>
        <v>-98.031000000000006</v>
      </c>
      <c r="CD11" s="6">
        <f ca="1"/>
        <v>-91.100000000000023</v>
      </c>
      <c r="CE11" s="6">
        <f ca="1"/>
        <v>-79.714999999999975</v>
      </c>
      <c r="CF11" s="6">
        <f ca="1"/>
        <v>-76.88900000000001</v>
      </c>
      <c r="CG11" s="6">
        <f ca="1"/>
        <v>-70.476999999999975</v>
      </c>
      <c r="CH11" s="6">
        <f ca="1"/>
        <v>-67.049000000000035</v>
      </c>
      <c r="CI11" s="6">
        <f ca="1"/>
        <v>-64.761000000000024</v>
      </c>
      <c r="CJ11" s="6">
        <f ca="1"/>
        <v>-64.87299999999999</v>
      </c>
      <c r="CK11" s="6">
        <f ca="1"/>
        <v>-66.524000000000001</v>
      </c>
      <c r="CL11" s="6" t="str">
        <f ca="1"/>
        <v>-</v>
      </c>
      <c r="CM11" s="6" t="str">
        <f ca="1"/>
        <v>-</v>
      </c>
      <c r="CN11" s="6" t="str">
        <f ca="1"/>
        <v>-</v>
      </c>
      <c r="CO11" s="6" t="str">
        <f ca="1"/>
        <v>-</v>
      </c>
      <c r="CP11" s="6" t="str">
        <f ca="1"/>
        <v>-</v>
      </c>
      <c r="CQ11" s="6" t="str">
        <f ca="1"/>
        <v>-</v>
      </c>
      <c r="CR11" s="6" t="str">
        <f ca="1"/>
        <v>-</v>
      </c>
      <c r="CS11" s="6" t="str">
        <f ca="1"/>
        <v>-</v>
      </c>
      <c r="CT11" s="6" t="str">
        <f ca="1"/>
        <v>-</v>
      </c>
      <c r="CU11" s="6" t="str">
        <f ca="1"/>
        <v>-</v>
      </c>
      <c r="CV11" s="6" t="str">
        <f ca="1"/>
        <v>-</v>
      </c>
      <c r="CW11" s="6" t="str">
        <f ca="1"/>
        <v>-</v>
      </c>
      <c r="CX11" s="6" t="str">
        <f ca="1"/>
        <v>-</v>
      </c>
      <c r="CY11" s="6" t="str">
        <f ca="1"/>
        <v>-</v>
      </c>
      <c r="CZ11" s="6" t="str">
        <f ca="1"/>
        <v>-</v>
      </c>
      <c r="DA11" s="6" t="str">
        <f ca="1"/>
        <v>-</v>
      </c>
      <c r="DB11" s="6" t="str">
        <f ca="1"/>
        <v>-</v>
      </c>
      <c r="DC11" s="6" t="str">
        <f ca="1"/>
        <v>-</v>
      </c>
      <c r="DD11" s="6" t="str">
        <f ca="1"/>
        <v>-</v>
      </c>
      <c r="DE11" s="6" t="str">
        <f ca="1"/>
        <v>-</v>
      </c>
      <c r="DF11" s="6" t="str">
        <f ca="1"/>
        <v>-</v>
      </c>
      <c r="DG11" s="6" t="str">
        <f ca="1"/>
        <v>-</v>
      </c>
      <c r="DH11" s="6" t="str">
        <f ca="1"/>
        <v>-</v>
      </c>
      <c r="DI11" s="6" t="str">
        <f ca="1"/>
        <v>-</v>
      </c>
      <c r="DJ11" s="6" t="str">
        <f ca="1"/>
        <v>-</v>
      </c>
      <c r="DK11" s="6" t="str">
        <f ca="1"/>
        <v>-</v>
      </c>
      <c r="DL11" s="6" t="str">
        <f ca="1"/>
        <v>-</v>
      </c>
      <c r="DM11" s="6" t="str">
        <f ca="1"/>
        <v>-</v>
      </c>
      <c r="DN11" s="6" t="str">
        <f ca="1"/>
        <v>-</v>
      </c>
      <c r="DO11" s="6" t="str">
        <f ca="1"/>
        <v>-</v>
      </c>
      <c r="DP11" s="6" t="str">
        <f ca="1"/>
        <v>-</v>
      </c>
      <c r="DQ11" s="6" t="str">
        <f ca="1"/>
        <v>-</v>
      </c>
      <c r="DR11" s="6" t="str">
        <f ca="1"/>
        <v>-</v>
      </c>
      <c r="DS11" s="6" t="str">
        <f ca="1"/>
        <v>-</v>
      </c>
      <c r="DT11" s="6" t="str">
        <f ca="1"/>
        <v>-</v>
      </c>
      <c r="DU11" s="6" t="str">
        <f ca="1"/>
        <v>-</v>
      </c>
      <c r="DV11" s="6" t="str">
        <f ca="1"/>
        <v>-</v>
      </c>
      <c r="DW11" s="6" t="str">
        <f ca="1"/>
        <v>-</v>
      </c>
      <c r="DX11" s="6" t="str">
        <f ca="1"/>
        <v>-</v>
      </c>
      <c r="DY11" s="6" t="str">
        <f ca="1"/>
        <v>-</v>
      </c>
      <c r="DZ11" s="6" t="str">
        <f ca="1"/>
        <v>-</v>
      </c>
      <c r="EA11" s="6" t="str">
        <f ca="1"/>
        <v>-</v>
      </c>
      <c r="EB11" s="6" t="str">
        <f ca="1"/>
        <v>-</v>
      </c>
      <c r="EC11" s="6" t="str">
        <f ca="1"/>
        <v>-</v>
      </c>
      <c r="ED11" s="6" t="str">
        <f ca="1"/>
        <v>-</v>
      </c>
      <c r="EE11" s="6" t="str">
        <f ca="1"/>
        <v>-</v>
      </c>
      <c r="EF11" s="6" t="str">
        <f ca="1"/>
        <v>-</v>
      </c>
      <c r="EG11" s="6" t="str">
        <f ca="1"/>
        <v>-</v>
      </c>
      <c r="EH11" s="6" t="str">
        <f ca="1"/>
        <v>-</v>
      </c>
      <c r="EI11" s="6" t="str">
        <f ca="1"/>
        <v>-</v>
      </c>
      <c r="EJ11" s="6" t="str">
        <f ca="1"/>
        <v>-</v>
      </c>
      <c r="EK11" s="6" t="str">
        <f ca="1"/>
        <v>-</v>
      </c>
      <c r="EL11" s="6" t="str">
        <f ca="1"/>
        <v>-</v>
      </c>
      <c r="EM11" s="6" t="str">
        <f ca="1"/>
        <v>-</v>
      </c>
      <c r="EN11" s="6" t="str">
        <f ca="1"/>
        <v>-</v>
      </c>
      <c r="EO11" s="6" t="str">
        <f ca="1"/>
        <v>-</v>
      </c>
      <c r="EP11" s="6" t="str">
        <f ca="1"/>
        <v>-</v>
      </c>
      <c r="EQ11" s="6" t="str">
        <f ca="1"/>
        <v>-</v>
      </c>
      <c r="ER11" s="6" t="str">
        <f ca="1"/>
        <v>-</v>
      </c>
      <c r="ES11" s="6" t="str">
        <f ca="1"/>
        <v>-</v>
      </c>
      <c r="ET11" s="6" t="str">
        <f ca="1"/>
        <v>-</v>
      </c>
      <c r="EU11" s="6" t="str">
        <f ca="1"/>
        <v>-</v>
      </c>
      <c r="EV11" s="6" t="str">
        <f ca="1"/>
        <v>-</v>
      </c>
      <c r="EW11" s="6" t="str">
        <f ca="1"/>
        <v>-</v>
      </c>
      <c r="EX11" s="6" t="str">
        <f ca="1"/>
        <v>-</v>
      </c>
      <c r="EY11" s="6" t="str">
        <f ca="1"/>
        <v>-</v>
      </c>
      <c r="EZ11" s="6" t="str">
        <f ca="1"/>
        <v>-</v>
      </c>
      <c r="FA11" s="6" t="str">
        <f ca="1"/>
        <v>-</v>
      </c>
      <c r="FB11" s="6" t="str">
        <f ca="1"/>
        <v>-</v>
      </c>
      <c r="FC11" s="6" t="str">
        <f ca="1"/>
        <v>-</v>
      </c>
      <c r="FD11" s="6" t="str">
        <f ca="1"/>
        <v>-</v>
      </c>
      <c r="FE11" s="6" t="str">
        <f ca="1"/>
        <v>-</v>
      </c>
      <c r="FF11" s="6" t="str">
        <f ca="1"/>
        <v>-</v>
      </c>
      <c r="FG11" s="6" t="str">
        <f ca="1"/>
        <v>-</v>
      </c>
      <c r="FH11" s="6" t="str">
        <f ca="1"/>
        <v>-</v>
      </c>
      <c r="FI11" s="6" t="str">
        <f ca="1"/>
        <v>-</v>
      </c>
      <c r="FJ11" s="6" t="str">
        <f ca="1"/>
        <v>-</v>
      </c>
      <c r="FK11" s="6" t="str">
        <f ca="1"/>
        <v>-</v>
      </c>
      <c r="FL11" s="6" t="str">
        <f ca="1"/>
        <v>-</v>
      </c>
      <c r="FM11" s="6" t="str">
        <f ca="1"/>
        <v>-</v>
      </c>
      <c r="FN11" s="6" t="str">
        <f ca="1"/>
        <v>-</v>
      </c>
      <c r="FO11" s="6" t="str">
        <f ca="1"/>
        <v>-</v>
      </c>
      <c r="FP11" s="6" t="str">
        <f ca="1"/>
        <v>-</v>
      </c>
      <c r="FQ11" s="6" t="str">
        <f ca="1"/>
        <v>-</v>
      </c>
      <c r="FR11" s="6" t="str">
        <f ca="1"/>
        <v>-</v>
      </c>
      <c r="FS11" s="6" t="str">
        <f ca="1"/>
        <v>-</v>
      </c>
      <c r="FT11" s="6" t="str">
        <f ca="1"/>
        <v>-</v>
      </c>
      <c r="FU11" s="6" t="str">
        <f ca="1"/>
        <v>-</v>
      </c>
      <c r="FV11" s="6" t="str">
        <f ca="1"/>
        <v>-</v>
      </c>
      <c r="FW11" s="6" t="str">
        <f ca="1"/>
        <v>-</v>
      </c>
      <c r="FX11" s="6" t="str">
        <f ca="1"/>
        <v>-</v>
      </c>
      <c r="FY11" s="6" t="str">
        <f ca="1"/>
        <v>-</v>
      </c>
      <c r="FZ11" s="6" t="str">
        <f ca="1"/>
        <v>-</v>
      </c>
      <c r="GA11" s="6" t="str">
        <f ca="1"/>
        <v>-</v>
      </c>
      <c r="GB11" s="6" t="str">
        <f ca="1"/>
        <v>-</v>
      </c>
      <c r="GC11" s="6" t="str">
        <f ca="1"/>
        <v>-</v>
      </c>
      <c r="GD11" s="6" t="str">
        <f ca="1"/>
        <v>-</v>
      </c>
      <c r="GE11" s="6" t="str">
        <f ca="1"/>
        <v>-</v>
      </c>
      <c r="GF11" s="6" t="str">
        <f ca="1"/>
        <v>-</v>
      </c>
      <c r="GG11" s="6" t="str">
        <f ca="1"/>
        <v>-</v>
      </c>
      <c r="GH11" s="6" t="str">
        <f ca="1"/>
        <v>-</v>
      </c>
      <c r="GI11" s="6" t="str">
        <f ca="1"/>
        <v>-</v>
      </c>
      <c r="GJ11" s="6" t="str">
        <f ca="1"/>
        <v>-</v>
      </c>
      <c r="GK11" s="6" t="str">
        <f ca="1"/>
        <v>-</v>
      </c>
      <c r="GL11" s="6" t="str">
        <f ca="1"/>
        <v>-</v>
      </c>
      <c r="GM11" s="6" t="str">
        <f ca="1"/>
        <v>-</v>
      </c>
      <c r="GN11" s="6" t="str">
        <f ca="1"/>
        <v>-</v>
      </c>
      <c r="GO11" s="6" t="str">
        <f ca="1"/>
        <v>-</v>
      </c>
      <c r="GP11" s="6" t="str">
        <f ca="1"/>
        <v>-</v>
      </c>
      <c r="GQ11" s="6" t="str">
        <f ca="1"/>
        <v>-</v>
      </c>
      <c r="GR11" s="6" t="str">
        <f ca="1"/>
        <v>-</v>
      </c>
      <c r="GS11" s="6" t="str">
        <f ca="1"/>
        <v>-</v>
      </c>
      <c r="GT11" s="6" t="str">
        <f ca="1"/>
        <v>-</v>
      </c>
      <c r="GU11" s="6" t="str">
        <f ca="1"/>
        <v>-</v>
      </c>
      <c r="GV11" s="6" t="str">
        <f ca="1"/>
        <v>-</v>
      </c>
      <c r="GW11" s="6" t="str">
        <f ca="1"/>
        <v>-</v>
      </c>
      <c r="GX11" s="6" t="str">
        <f ca="1"/>
        <v>-</v>
      </c>
      <c r="GY11" s="6" t="str">
        <f ca="1"/>
        <v>-</v>
      </c>
      <c r="GZ11" s="6" t="str">
        <f ca="1"/>
        <v>-</v>
      </c>
      <c r="HA11" s="6" t="str">
        <f ca="1"/>
        <v>-</v>
      </c>
      <c r="HB11" s="6" t="str">
        <f ca="1"/>
        <v>-</v>
      </c>
      <c r="HC11" s="6" t="str">
        <f ca="1"/>
        <v>-</v>
      </c>
      <c r="HD11" s="6" t="str">
        <f ca="1"/>
        <v>-</v>
      </c>
      <c r="HE11" s="6" t="str">
        <f ca="1"/>
        <v>-</v>
      </c>
      <c r="HF11" s="6" t="str">
        <f ca="1"/>
        <v>-</v>
      </c>
      <c r="HG11" s="6" t="str">
        <f ca="1"/>
        <v>-</v>
      </c>
      <c r="HH11" s="6" t="str">
        <f ca="1"/>
        <v>-</v>
      </c>
      <c r="HI11" s="6" t="str">
        <f ca="1"/>
        <v>-</v>
      </c>
      <c r="HJ11" s="6" t="str">
        <f ca="1"/>
        <v>-</v>
      </c>
      <c r="HK11" s="6" t="str">
        <f ca="1"/>
        <v>-</v>
      </c>
      <c r="HL11" s="6" t="str">
        <f ca="1"/>
        <v>-</v>
      </c>
      <c r="HM11" s="6" t="str">
        <f ca="1"/>
        <v>-</v>
      </c>
      <c r="HN11" s="6" t="str">
        <f ca="1"/>
        <v>-</v>
      </c>
      <c r="HO11" s="6" t="str">
        <f ca="1"/>
        <v>-</v>
      </c>
      <c r="HP11" s="6" t="str">
        <f ca="1"/>
        <v>-</v>
      </c>
      <c r="HQ11" s="6" t="str">
        <f ca="1"/>
        <v>-</v>
      </c>
      <c r="HR11" s="6" t="str">
        <f ca="1"/>
        <v>-</v>
      </c>
      <c r="HS11" s="6" t="str">
        <f ca="1"/>
        <v>-</v>
      </c>
      <c r="HT11" s="6" t="str">
        <f ca="1"/>
        <v>-</v>
      </c>
      <c r="HU11" s="6" t="str">
        <f ca="1"/>
        <v>-</v>
      </c>
      <c r="HV11" s="6" t="str">
        <f ca="1"/>
        <v>-</v>
      </c>
      <c r="HW11" s="6" t="str">
        <f ca="1"/>
        <v>-</v>
      </c>
      <c r="HX11" s="6" t="str">
        <f ca="1"/>
        <v>-</v>
      </c>
      <c r="HY11" s="6" t="str">
        <f ca="1"/>
        <v>-</v>
      </c>
      <c r="HZ11" s="6" t="str">
        <f ca="1"/>
        <v>-</v>
      </c>
      <c r="IA11" s="6" t="str">
        <f ca="1"/>
        <v>-</v>
      </c>
      <c r="IB11" s="6" t="str">
        <f ca="1"/>
        <v>-</v>
      </c>
      <c r="IC11" s="6" t="str">
        <f ca="1"/>
        <v>-</v>
      </c>
      <c r="ID11" s="6" t="str">
        <f ca="1"/>
        <v>-</v>
      </c>
      <c r="IE11" s="6" t="str">
        <f ca="1"/>
        <v>-</v>
      </c>
      <c r="IF11" s="6" t="str">
        <f ca="1"/>
        <v>-</v>
      </c>
      <c r="IG11" s="6" t="str">
        <f ca="1"/>
        <v>-</v>
      </c>
      <c r="IH11" s="6" t="str">
        <f ca="1"/>
        <v>-</v>
      </c>
      <c r="II11" s="6" t="str">
        <f ca="1"/>
        <v>-</v>
      </c>
      <c r="IJ11" s="6" t="str">
        <f ca="1"/>
        <v>-</v>
      </c>
      <c r="IK11" s="6" t="str">
        <f ca="1"/>
        <v>-</v>
      </c>
      <c r="IL11" s="6" t="str">
        <f ca="1"/>
        <v>-</v>
      </c>
      <c r="IM11" s="6" t="str">
        <f ca="1"/>
        <v>-</v>
      </c>
      <c r="IN11" s="6" t="str">
        <f ca="1"/>
        <v>-</v>
      </c>
      <c r="IO11" s="6" t="str">
        <f ca="1"/>
        <v>-</v>
      </c>
      <c r="IP11" s="6" t="str">
        <f ca="1"/>
        <v>-</v>
      </c>
      <c r="IQ11" s="6" t="str">
        <f ca="1"/>
        <v>-</v>
      </c>
      <c r="IR11" s="6" t="str">
        <f ca="1"/>
        <v>-</v>
      </c>
      <c r="IS11" s="6" t="str">
        <f ca="1"/>
        <v>-</v>
      </c>
      <c r="IT11" s="6" t="str">
        <f ca="1"/>
        <v>-</v>
      </c>
      <c r="IU11" s="6" t="str">
        <f ca="1"/>
        <v>-</v>
      </c>
      <c r="IV11" s="6" t="str">
        <f ca="1"/>
        <v>-</v>
      </c>
      <c r="IW11" s="6" t="str">
        <f ca="1"/>
        <v>-</v>
      </c>
      <c r="IX11" s="6" t="str">
        <f ca="1"/>
        <v>-</v>
      </c>
      <c r="IY11" s="6" t="str">
        <f ca="1"/>
        <v>-</v>
      </c>
      <c r="IZ11" s="6" t="str">
        <f ca="1"/>
        <v>-</v>
      </c>
    </row>
    <row r="15" spans="2:260" x14ac:dyDescent="0.25">
      <c r="B15" s="7" t="s">
        <v>44</v>
      </c>
      <c r="D15" s="6" cm="1">
        <f t="array" aca="1" ref="D15:IZ15" ca="1">dl_Get_Hist(B15,isin_list,historic_data)</f>
        <v>284.55099999999993</v>
      </c>
      <c r="E15" s="6">
        <f ca="1"/>
        <v>288.02741935483874</v>
      </c>
      <c r="F15" s="6">
        <f ca="1"/>
        <v>290.65612903225809</v>
      </c>
      <c r="G15" s="6">
        <f ca="1"/>
        <v>282.01367741935485</v>
      </c>
      <c r="H15" s="6">
        <f ca="1"/>
        <v>279.22803225806456</v>
      </c>
      <c r="I15" s="6">
        <f ca="1"/>
        <v>277.90664516129033</v>
      </c>
      <c r="J15" s="6">
        <f ca="1"/>
        <v>278.03145161290325</v>
      </c>
      <c r="K15" s="6">
        <f ca="1"/>
        <v>276.14025806451605</v>
      </c>
      <c r="L15" s="6">
        <f ca="1"/>
        <v>272.06845161290317</v>
      </c>
      <c r="M15" s="6">
        <f ca="1"/>
        <v>272.74683870967738</v>
      </c>
      <c r="N15" s="6">
        <f ca="1"/>
        <v>279.69809677419352</v>
      </c>
      <c r="O15" s="6">
        <f ca="1"/>
        <v>285.76364516129041</v>
      </c>
      <c r="P15" s="6">
        <f ca="1"/>
        <v>288.28839999999997</v>
      </c>
      <c r="Q15" s="6">
        <f ca="1"/>
        <v>293.73336666666665</v>
      </c>
      <c r="R15" s="6">
        <f ca="1"/>
        <v>301.59663333333333</v>
      </c>
      <c r="S15" s="6">
        <f ca="1"/>
        <v>306.39206666666666</v>
      </c>
      <c r="T15" s="6">
        <f ca="1"/>
        <v>310.98449999999997</v>
      </c>
      <c r="U15" s="6">
        <f ca="1"/>
        <v>303.72706666666664</v>
      </c>
      <c r="V15" s="6">
        <f ca="1"/>
        <v>293.37229999999994</v>
      </c>
      <c r="W15" s="6">
        <f ca="1"/>
        <v>294.43099999999998</v>
      </c>
      <c r="X15" s="6">
        <f ca="1"/>
        <v>293.54373333333331</v>
      </c>
      <c r="Y15" s="6">
        <f ca="1"/>
        <v>279.60333333333335</v>
      </c>
      <c r="Z15" s="6">
        <f ca="1"/>
        <v>281.66889999999995</v>
      </c>
      <c r="AA15" s="6">
        <f ca="1"/>
        <v>283.3347</v>
      </c>
      <c r="AB15" s="6">
        <f ca="1"/>
        <v>287.74276666666668</v>
      </c>
      <c r="AC15" s="6">
        <f ca="1"/>
        <v>289.34426666666667</v>
      </c>
      <c r="AD15" s="6">
        <f ca="1"/>
        <v>286.21606666666668</v>
      </c>
      <c r="AE15" s="6">
        <f ca="1"/>
        <v>280.32460000000003</v>
      </c>
      <c r="AF15" s="6">
        <f ca="1"/>
        <v>282.45483333333334</v>
      </c>
      <c r="AG15" s="6">
        <f ca="1"/>
        <v>280.30006666666668</v>
      </c>
      <c r="AH15" s="6">
        <f ca="1"/>
        <v>275.33226666666661</v>
      </c>
      <c r="AI15" s="6">
        <f ca="1"/>
        <v>275.05896666666666</v>
      </c>
      <c r="AJ15" s="6">
        <f ca="1"/>
        <v>277.56225000000001</v>
      </c>
      <c r="AK15" s="6">
        <f ca="1"/>
        <v>277.40139285714287</v>
      </c>
      <c r="AL15" s="6">
        <f ca="1"/>
        <v>278.51807142857132</v>
      </c>
      <c r="AM15" s="6">
        <f ca="1"/>
        <v>277.46832142857141</v>
      </c>
      <c r="AN15" s="6">
        <f ca="1"/>
        <v>278.01857142857142</v>
      </c>
      <c r="AO15" s="6">
        <f ca="1"/>
        <v>276.37457142857141</v>
      </c>
      <c r="AP15" s="6">
        <f ca="1"/>
        <v>272.59539285714288</v>
      </c>
      <c r="AQ15" s="6">
        <f ca="1"/>
        <v>270.40262962962959</v>
      </c>
      <c r="AR15" s="6">
        <f ca="1"/>
        <v>275.73848148148159</v>
      </c>
      <c r="AS15" s="6">
        <f ca="1"/>
        <v>280.12648148148145</v>
      </c>
      <c r="AT15" s="6">
        <f ca="1"/>
        <v>280.48766666666671</v>
      </c>
      <c r="AU15" s="6">
        <f ca="1"/>
        <v>278.51137037037034</v>
      </c>
      <c r="AV15" s="6">
        <f ca="1"/>
        <v>276.67070370370362</v>
      </c>
      <c r="AW15" s="6">
        <f ca="1"/>
        <v>273.93900000000002</v>
      </c>
      <c r="AX15" s="6">
        <f ca="1"/>
        <v>269.16192592592591</v>
      </c>
      <c r="AY15" s="6">
        <f ca="1"/>
        <v>265.31133333333332</v>
      </c>
      <c r="AZ15" s="6">
        <f ca="1"/>
        <v>267.56133333333338</v>
      </c>
      <c r="BA15" s="6">
        <f ca="1"/>
        <v>272.01188888888885</v>
      </c>
      <c r="BB15" s="6">
        <f ca="1"/>
        <v>281.67074074074071</v>
      </c>
      <c r="BC15" s="6">
        <f ca="1"/>
        <v>284.87399999999997</v>
      </c>
      <c r="BD15" s="6">
        <f ca="1"/>
        <v>290.29533333333336</v>
      </c>
      <c r="BE15" s="6">
        <f ca="1"/>
        <v>292.94296296296301</v>
      </c>
      <c r="BF15" s="6">
        <f ca="1"/>
        <v>301.15914814814818</v>
      </c>
      <c r="BG15" s="6">
        <f ca="1"/>
        <v>303.29688888888887</v>
      </c>
      <c r="BH15" s="6">
        <f ca="1"/>
        <v>302.0568148148148</v>
      </c>
      <c r="BI15" s="6">
        <f ca="1"/>
        <v>299.87718518518517</v>
      </c>
      <c r="BJ15" s="6">
        <f ca="1"/>
        <v>290.48585185185181</v>
      </c>
      <c r="BK15" s="6">
        <f ca="1"/>
        <v>288.68103703703702</v>
      </c>
      <c r="BL15" s="6">
        <f ca="1"/>
        <v>285.11307407407412</v>
      </c>
      <c r="BM15" s="6">
        <f ca="1"/>
        <v>283.56285185185192</v>
      </c>
      <c r="BN15" s="6">
        <f ca="1"/>
        <v>285.80229629629633</v>
      </c>
      <c r="BO15" s="6">
        <f ca="1"/>
        <v>287.38407407407408</v>
      </c>
      <c r="BP15" s="6">
        <f ca="1"/>
        <v>286.18970370370369</v>
      </c>
      <c r="BQ15" s="6">
        <f ca="1"/>
        <v>300.95266666666663</v>
      </c>
      <c r="BR15" s="6">
        <f ca="1"/>
        <v>311.84270370370365</v>
      </c>
      <c r="BS15" s="6">
        <f ca="1"/>
        <v>317.61019230769227</v>
      </c>
      <c r="BT15" s="6">
        <f ca="1"/>
        <v>318.52273076923069</v>
      </c>
      <c r="BU15" s="6">
        <f ca="1"/>
        <v>323.27211538461535</v>
      </c>
      <c r="BV15" s="6">
        <f ca="1"/>
        <v>323.42465384615383</v>
      </c>
      <c r="BW15" s="6">
        <f ca="1"/>
        <v>327.18411538461538</v>
      </c>
      <c r="BX15" s="6">
        <f ca="1"/>
        <v>323.21323076923079</v>
      </c>
      <c r="BY15" s="6">
        <f ca="1"/>
        <v>319.97638461538457</v>
      </c>
      <c r="BZ15" s="6">
        <f ca="1"/>
        <v>315.72715384615395</v>
      </c>
      <c r="CA15" s="6">
        <f ca="1"/>
        <v>315.99926923076924</v>
      </c>
      <c r="CB15" s="6">
        <f ca="1"/>
        <v>322.70903846153846</v>
      </c>
      <c r="CC15" s="6">
        <f ca="1"/>
        <v>325.0221153846154</v>
      </c>
      <c r="CD15" s="6">
        <f ca="1"/>
        <v>329.77761538461533</v>
      </c>
      <c r="CE15" s="6">
        <f ca="1"/>
        <v>338.15669230769231</v>
      </c>
      <c r="CF15" s="6">
        <f ca="1"/>
        <v>343.17611538461529</v>
      </c>
      <c r="CG15" s="6">
        <f ca="1"/>
        <v>345.16430769230772</v>
      </c>
      <c r="CH15" s="6">
        <f ca="1"/>
        <v>344.01365384615383</v>
      </c>
      <c r="CI15" s="6">
        <f ca="1"/>
        <v>341.34053846153853</v>
      </c>
      <c r="CJ15" s="6">
        <f ca="1"/>
        <v>336.93380769230771</v>
      </c>
      <c r="CK15" s="6">
        <f ca="1"/>
        <v>340.77496000000008</v>
      </c>
      <c r="CL15" s="6">
        <f ca="1"/>
        <v>327.41190909090909</v>
      </c>
      <c r="CM15" s="6">
        <f ca="1"/>
        <v>324.832619047619</v>
      </c>
      <c r="CN15" s="6">
        <f ca="1"/>
        <v>314.6599523809524</v>
      </c>
      <c r="CO15" s="6">
        <f ca="1"/>
        <v>305.6104285714286</v>
      </c>
      <c r="CP15" s="6">
        <f ca="1"/>
        <v>323.78404761904767</v>
      </c>
      <c r="CQ15" s="6">
        <f ca="1"/>
        <v>319.47504761904759</v>
      </c>
      <c r="CR15" s="6">
        <f ca="1"/>
        <v>316.36130000000003</v>
      </c>
      <c r="CS15" s="6">
        <f ca="1"/>
        <v>291.19844999999998</v>
      </c>
      <c r="CT15" s="6">
        <f ca="1"/>
        <v>273.00670000000002</v>
      </c>
      <c r="CU15" s="6">
        <f ca="1"/>
        <v>257.80405000000002</v>
      </c>
      <c r="CV15" s="6">
        <f ca="1"/>
        <v>266.25685000000004</v>
      </c>
      <c r="CW15" s="6">
        <f ca="1"/>
        <v>291.06380000000007</v>
      </c>
      <c r="CX15" s="6">
        <f ca="1"/>
        <v>300.67444999999998</v>
      </c>
      <c r="CY15" s="6">
        <f ca="1"/>
        <v>314.49459999999999</v>
      </c>
      <c r="CZ15" s="6">
        <f ca="1"/>
        <v>316.45319999999998</v>
      </c>
      <c r="DA15" s="6">
        <f ca="1"/>
        <v>317.08970000000011</v>
      </c>
      <c r="DB15" s="6">
        <f ca="1"/>
        <v>309.18019999999996</v>
      </c>
      <c r="DC15" s="6">
        <f ca="1"/>
        <v>308.14330000000001</v>
      </c>
      <c r="DD15" s="6">
        <f ca="1"/>
        <v>327.73925000000003</v>
      </c>
      <c r="DE15" s="6">
        <f ca="1"/>
        <v>342.08559999999994</v>
      </c>
      <c r="DF15" s="6">
        <f ca="1"/>
        <v>346.80049999999994</v>
      </c>
      <c r="DG15" s="6">
        <f ca="1"/>
        <v>348.54275000000001</v>
      </c>
      <c r="DH15" s="6">
        <f ca="1"/>
        <v>354.30384999999995</v>
      </c>
      <c r="DI15" s="6">
        <f ca="1"/>
        <v>364.64125000000001</v>
      </c>
      <c r="DJ15" s="6">
        <f ca="1"/>
        <v>378.84555</v>
      </c>
      <c r="DK15" s="6">
        <f ca="1"/>
        <v>388.4165999999999</v>
      </c>
      <c r="DL15" s="6">
        <f ca="1"/>
        <v>388.58269999999993</v>
      </c>
      <c r="DM15" s="6">
        <f ca="1"/>
        <v>378.03579999999994</v>
      </c>
      <c r="DN15" s="6">
        <f ca="1"/>
        <v>370.19084999999995</v>
      </c>
      <c r="DO15" s="6">
        <f ca="1"/>
        <v>367.2845999999999</v>
      </c>
      <c r="DP15" s="6">
        <f ca="1"/>
        <v>369.46500000000003</v>
      </c>
      <c r="DQ15" s="6">
        <f ca="1"/>
        <v>370.90285000000006</v>
      </c>
      <c r="DR15" s="6">
        <f ca="1"/>
        <v>378.03724999999997</v>
      </c>
      <c r="DS15" s="6">
        <f ca="1"/>
        <v>384.63569999999993</v>
      </c>
      <c r="DT15" s="6">
        <f ca="1"/>
        <v>387.21160000000009</v>
      </c>
      <c r="DU15" s="6">
        <f ca="1"/>
        <v>374.84260000000006</v>
      </c>
      <c r="DV15" s="6">
        <f ca="1"/>
        <v>364.92955000000001</v>
      </c>
      <c r="DW15" s="6">
        <f ca="1"/>
        <v>355.16984999999994</v>
      </c>
      <c r="DX15" s="6">
        <f ca="1"/>
        <v>345.15290000000005</v>
      </c>
      <c r="DY15" s="6">
        <f ca="1"/>
        <v>337.74314999999996</v>
      </c>
      <c r="DZ15" s="6">
        <f ca="1"/>
        <v>352.61775000000006</v>
      </c>
      <c r="EA15" s="6">
        <f ca="1"/>
        <v>356.56434999999999</v>
      </c>
      <c r="EB15" s="6">
        <f ca="1"/>
        <v>368.51000000000005</v>
      </c>
      <c r="EC15" s="6">
        <f ca="1"/>
        <v>371.30489999999998</v>
      </c>
      <c r="ED15" s="6">
        <f ca="1"/>
        <v>358.64195000000001</v>
      </c>
      <c r="EE15" s="6">
        <f ca="1"/>
        <v>353.57425000000001</v>
      </c>
      <c r="EF15" s="6">
        <f ca="1"/>
        <v>352.51620000000003</v>
      </c>
      <c r="EG15" s="6">
        <f ca="1"/>
        <v>334.97994999999997</v>
      </c>
      <c r="EH15" s="6">
        <f ca="1"/>
        <v>333.18645000000004</v>
      </c>
      <c r="EI15" s="6">
        <f ca="1"/>
        <v>366.23219999999992</v>
      </c>
      <c r="EJ15" s="6">
        <f ca="1"/>
        <v>397.60094999999995</v>
      </c>
      <c r="EK15" s="6">
        <f ca="1"/>
        <v>416.99279999999999</v>
      </c>
      <c r="EL15" s="6">
        <f ca="1"/>
        <v>445.40344999999996</v>
      </c>
      <c r="EM15" s="6">
        <f ca="1"/>
        <v>455.6486000000001</v>
      </c>
      <c r="EN15" s="6">
        <f ca="1"/>
        <v>455.48084999999992</v>
      </c>
      <c r="EO15" s="6">
        <f ca="1"/>
        <v>454.49340000000001</v>
      </c>
      <c r="EP15" s="6">
        <f ca="1"/>
        <v>458.58995000000004</v>
      </c>
      <c r="EQ15" s="6">
        <f ca="1"/>
        <v>465.37579999999997</v>
      </c>
      <c r="ER15" s="6">
        <f ca="1"/>
        <v>464.40594999999985</v>
      </c>
      <c r="ES15" s="6">
        <f ca="1"/>
        <v>467.83139999999992</v>
      </c>
      <c r="ET15" s="6">
        <f ca="1"/>
        <v>479.53635000000003</v>
      </c>
      <c r="EU15" s="6">
        <f ca="1"/>
        <v>538.2949000000001</v>
      </c>
      <c r="EV15" s="6">
        <f ca="1"/>
        <v>563.18534999999997</v>
      </c>
      <c r="EW15" s="6">
        <f ca="1"/>
        <v>547.40780000000007</v>
      </c>
      <c r="EX15" s="6">
        <f ca="1"/>
        <v>565.28</v>
      </c>
      <c r="EY15" s="6">
        <f ca="1"/>
        <v>562.62860000000001</v>
      </c>
      <c r="EZ15" s="6">
        <f ca="1"/>
        <v>500.94759999999997</v>
      </c>
      <c r="FA15" s="6">
        <f ca="1"/>
        <v>437.56230000000005</v>
      </c>
      <c r="FB15" s="6">
        <f ca="1"/>
        <v>372.58260000000007</v>
      </c>
      <c r="FC15" s="6">
        <f ca="1"/>
        <v>355.36649999999997</v>
      </c>
      <c r="FD15" s="6">
        <f ca="1"/>
        <v>312.70400000000001</v>
      </c>
      <c r="FE15" s="6">
        <f ca="1"/>
        <v>303.04264999999998</v>
      </c>
      <c r="FF15" s="6">
        <f ca="1"/>
        <v>310.89389999999997</v>
      </c>
      <c r="FG15" s="6">
        <f ca="1"/>
        <v>267.60545000000002</v>
      </c>
      <c r="FH15" s="6">
        <f ca="1"/>
        <v>238.95759999999996</v>
      </c>
      <c r="FI15" s="6">
        <f ca="1"/>
        <v>229.18980000000005</v>
      </c>
      <c r="FJ15" s="6">
        <f ca="1"/>
        <v>232.53880000000004</v>
      </c>
      <c r="FK15" s="6">
        <f ca="1"/>
        <v>247.88740000000001</v>
      </c>
      <c r="FL15" s="6">
        <f ca="1"/>
        <v>248.71145000000007</v>
      </c>
      <c r="FM15" s="6">
        <f ca="1"/>
        <v>230.4966</v>
      </c>
      <c r="FN15" s="6">
        <f ca="1"/>
        <v>214.19974999999999</v>
      </c>
      <c r="FO15" s="6">
        <f ca="1"/>
        <v>208.32669999999999</v>
      </c>
      <c r="FP15" s="6">
        <f ca="1"/>
        <v>200.78725000000003</v>
      </c>
      <c r="FQ15" s="6">
        <f ca="1"/>
        <v>186.69154999999998</v>
      </c>
      <c r="FR15" s="6">
        <f ca="1"/>
        <v>186.39235000000002</v>
      </c>
      <c r="FS15" s="6">
        <f ca="1"/>
        <v>187.78969999999998</v>
      </c>
      <c r="FT15" s="6">
        <f ca="1"/>
        <v>189.55610000000001</v>
      </c>
      <c r="FU15" s="6">
        <f ca="1"/>
        <v>188.84375000000003</v>
      </c>
      <c r="FV15" s="6">
        <f ca="1"/>
        <v>189.91500000000002</v>
      </c>
      <c r="FW15" s="6">
        <f ca="1"/>
        <v>191.67845</v>
      </c>
      <c r="FX15" s="6">
        <f ca="1"/>
        <v>190.32554999999996</v>
      </c>
      <c r="FY15" s="6">
        <f ca="1"/>
        <v>192.27349999999996</v>
      </c>
      <c r="FZ15" s="6">
        <f ca="1"/>
        <v>194.78665000000001</v>
      </c>
      <c r="GA15" s="6">
        <f ca="1"/>
        <v>192.49025</v>
      </c>
      <c r="GB15" s="6">
        <f ca="1"/>
        <v>191.36431578947369</v>
      </c>
      <c r="GC15" s="6">
        <f ca="1"/>
        <v>194.06652631578947</v>
      </c>
      <c r="GD15" s="6">
        <f ca="1"/>
        <v>199.76384210526319</v>
      </c>
      <c r="GE15" s="6">
        <f ca="1"/>
        <v>208.16952631578945</v>
      </c>
      <c r="GF15" s="6">
        <f ca="1"/>
        <v>209.30563157894736</v>
      </c>
      <c r="GG15" s="6">
        <f ca="1"/>
        <v>207.0515789473684</v>
      </c>
      <c r="GH15" s="6">
        <f ca="1"/>
        <v>203.00221052631579</v>
      </c>
      <c r="GI15" s="6">
        <f ca="1"/>
        <v>201.74894444444445</v>
      </c>
      <c r="GJ15" s="6">
        <f ca="1"/>
        <v>206.1312777777778</v>
      </c>
      <c r="GK15" s="6">
        <f ca="1"/>
        <v>197.55205555555551</v>
      </c>
      <c r="GL15" s="6">
        <f ca="1"/>
        <v>191.10305555555558</v>
      </c>
      <c r="GM15" s="6">
        <f ca="1"/>
        <v>185.12633333333335</v>
      </c>
      <c r="GN15" s="6">
        <f ca="1"/>
        <v>183.53922222222224</v>
      </c>
      <c r="GO15" s="6">
        <f ca="1"/>
        <v>182.26088888888887</v>
      </c>
      <c r="GP15" s="6">
        <f ca="1"/>
        <v>185.10622222222227</v>
      </c>
      <c r="GQ15" s="6">
        <f ca="1"/>
        <v>191.42944444444447</v>
      </c>
      <c r="GR15" s="6">
        <f ca="1"/>
        <v>195.35466666666665</v>
      </c>
      <c r="GS15" s="6">
        <f ca="1"/>
        <v>195.46527777777783</v>
      </c>
      <c r="GT15" s="6">
        <f ca="1"/>
        <v>195.41772222222227</v>
      </c>
      <c r="GU15" s="6">
        <f ca="1"/>
        <v>197.6696111111111</v>
      </c>
      <c r="GV15" s="6">
        <f ca="1"/>
        <v>198.63661111111111</v>
      </c>
      <c r="GW15" s="6">
        <f ca="1"/>
        <v>202.78649999999999</v>
      </c>
      <c r="GX15" s="6">
        <f ca="1"/>
        <v>202.9026111111111</v>
      </c>
      <c r="GY15" s="6">
        <f ca="1"/>
        <v>200.26161111111111</v>
      </c>
      <c r="GZ15" s="6">
        <f ca="1"/>
        <v>197.17083333333329</v>
      </c>
      <c r="HA15" s="6">
        <f ca="1"/>
        <v>193.04655555555556</v>
      </c>
      <c r="HB15" s="6">
        <f ca="1"/>
        <v>190.71838888888888</v>
      </c>
      <c r="HC15" s="6">
        <f ca="1"/>
        <v>189.52527777777777</v>
      </c>
      <c r="HD15" s="6">
        <f ca="1"/>
        <v>192.51533333333336</v>
      </c>
      <c r="HE15" s="6">
        <f ca="1"/>
        <v>193.09316666666666</v>
      </c>
      <c r="HF15" s="6">
        <f ca="1"/>
        <v>193.17933333333332</v>
      </c>
      <c r="HG15" s="6">
        <f ca="1"/>
        <v>195.39977777777779</v>
      </c>
      <c r="HH15" s="6">
        <f ca="1"/>
        <v>195.90716666666665</v>
      </c>
      <c r="HI15" s="6">
        <f ca="1"/>
        <v>197.19561111111113</v>
      </c>
      <c r="HJ15" s="6">
        <f ca="1"/>
        <v>199.94538888888891</v>
      </c>
      <c r="HK15" s="6">
        <f ca="1"/>
        <v>201.0817222222222</v>
      </c>
      <c r="HL15" s="6">
        <f ca="1"/>
        <v>202.35150000000004</v>
      </c>
      <c r="HM15" s="6">
        <f ca="1"/>
        <v>206.24966666666671</v>
      </c>
      <c r="HN15" s="6">
        <f ca="1"/>
        <v>208.65522222222222</v>
      </c>
      <c r="HO15" s="6">
        <f ca="1"/>
        <v>207.61900000000003</v>
      </c>
      <c r="HP15" s="6">
        <f ca="1"/>
        <v>208.66311111111108</v>
      </c>
      <c r="HQ15" s="6">
        <f ca="1"/>
        <v>211.77544444444442</v>
      </c>
      <c r="HR15" s="6">
        <f ca="1"/>
        <v>216.16405555555554</v>
      </c>
      <c r="HS15" s="6">
        <f ca="1"/>
        <v>221.69277777777779</v>
      </c>
      <c r="HT15" s="6">
        <f ca="1"/>
        <v>224.69494444444445</v>
      </c>
      <c r="HU15" s="6">
        <f ca="1"/>
        <v>220.85405555555559</v>
      </c>
      <c r="HV15" s="6">
        <f ca="1"/>
        <v>221.28333333333333</v>
      </c>
      <c r="HW15" s="6">
        <f ca="1"/>
        <v>224.16766666666663</v>
      </c>
      <c r="HX15" s="6">
        <f ca="1"/>
        <v>224.83377777777775</v>
      </c>
      <c r="HY15" s="6">
        <f ca="1"/>
        <v>224.90577777777779</v>
      </c>
      <c r="HZ15" s="6">
        <f ca="1"/>
        <v>230.32127777777774</v>
      </c>
      <c r="IA15" s="6">
        <f ca="1"/>
        <v>238.0205555555556</v>
      </c>
      <c r="IB15" s="6">
        <f ca="1"/>
        <v>240.53088888888891</v>
      </c>
      <c r="IC15" s="6">
        <f ca="1"/>
        <v>241.0578888888889</v>
      </c>
      <c r="ID15" s="6">
        <f ca="1"/>
        <v>237.75194444444443</v>
      </c>
      <c r="IE15" s="6">
        <f ca="1"/>
        <v>235.25688888888894</v>
      </c>
      <c r="IF15" s="6">
        <f ca="1"/>
        <v>234.74005555555556</v>
      </c>
      <c r="IG15" s="6">
        <f ca="1"/>
        <v>234.24894444444442</v>
      </c>
      <c r="IH15" s="6">
        <f ca="1"/>
        <v>231.08533333333332</v>
      </c>
      <c r="II15" s="6">
        <f ca="1"/>
        <v>227.3356666666667</v>
      </c>
      <c r="IJ15" s="6">
        <f ca="1"/>
        <v>225.38522222222221</v>
      </c>
      <c r="IK15" s="6">
        <f ca="1"/>
        <v>222.42061111111119</v>
      </c>
      <c r="IL15" s="6">
        <f ca="1"/>
        <v>216.37855555555561</v>
      </c>
      <c r="IM15" s="6">
        <f ca="1"/>
        <v>215.15177777777777</v>
      </c>
      <c r="IN15" s="6">
        <f ca="1"/>
        <v>213.72033333333334</v>
      </c>
      <c r="IO15" s="6">
        <f ca="1"/>
        <v>218.66388888888889</v>
      </c>
      <c r="IP15" s="6">
        <f ca="1"/>
        <v>225.64227777777776</v>
      </c>
      <c r="IQ15" s="6">
        <f ca="1"/>
        <v>227.96811111111114</v>
      </c>
      <c r="IR15" s="6">
        <f ca="1"/>
        <v>224.91083333333336</v>
      </c>
      <c r="IS15" s="6">
        <f ca="1"/>
        <v>221.20983333333336</v>
      </c>
      <c r="IT15" s="6">
        <f ca="1"/>
        <v>216.75683333333333</v>
      </c>
      <c r="IU15" s="6">
        <f ca="1"/>
        <v>217.74116666666666</v>
      </c>
      <c r="IV15" s="6">
        <f ca="1"/>
        <v>221.48511111111111</v>
      </c>
      <c r="IW15" s="6">
        <f ca="1"/>
        <v>224.42488888888889</v>
      </c>
      <c r="IX15" s="6">
        <f ca="1"/>
        <v>225.4303888888889</v>
      </c>
      <c r="IY15" s="6">
        <f ca="1"/>
        <v>218.11241176470588</v>
      </c>
      <c r="IZ15" s="6">
        <f ca="1"/>
        <v>176.88050000000001</v>
      </c>
    </row>
    <row r="16" spans="2:260" x14ac:dyDescent="0.25">
      <c r="B16" s="7" t="s">
        <v>57</v>
      </c>
      <c r="D16" s="6" cm="1">
        <f t="array" aca="1" ref="D16:IZ16" ca="1">dl_Get_Hist(B16,isin_list,historic_data)</f>
        <v>293.0001666666667</v>
      </c>
      <c r="E16" s="6">
        <f ca="1"/>
        <v>297.09199999999998</v>
      </c>
      <c r="F16" s="6">
        <f ca="1"/>
        <v>300.53316666666666</v>
      </c>
      <c r="G16" s="6">
        <f ca="1"/>
        <v>291.1081666666667</v>
      </c>
      <c r="H16" s="6">
        <f ca="1"/>
        <v>288.04283333333331</v>
      </c>
      <c r="I16" s="6">
        <f ca="1"/>
        <v>286.96449999999999</v>
      </c>
      <c r="J16" s="6">
        <f ca="1"/>
        <v>288.2165</v>
      </c>
      <c r="K16" s="6">
        <f ca="1"/>
        <v>286.09066666666666</v>
      </c>
      <c r="L16" s="6">
        <f ca="1"/>
        <v>281.02566666666667</v>
      </c>
      <c r="M16" s="6">
        <f ca="1"/>
        <v>280.83433333333335</v>
      </c>
      <c r="N16" s="6">
        <f ca="1"/>
        <v>287.16749999999996</v>
      </c>
      <c r="O16" s="6">
        <f ca="1"/>
        <v>292.43333333333334</v>
      </c>
      <c r="P16" s="6">
        <f ca="1"/>
        <v>291.399</v>
      </c>
      <c r="Q16" s="6">
        <f ca="1"/>
        <v>297.50233333333335</v>
      </c>
      <c r="R16" s="6">
        <f ca="1"/>
        <v>304.95016666666669</v>
      </c>
      <c r="S16" s="6">
        <f ca="1"/>
        <v>310.67233333333331</v>
      </c>
      <c r="T16" s="6">
        <f ca="1"/>
        <v>315.92883333333333</v>
      </c>
      <c r="U16" s="6">
        <f ca="1"/>
        <v>309.06566666666669</v>
      </c>
      <c r="V16" s="6">
        <f ca="1"/>
        <v>297.03283333333337</v>
      </c>
      <c r="W16" s="6">
        <f ca="1"/>
        <v>299.48700000000002</v>
      </c>
      <c r="X16" s="6">
        <f ca="1"/>
        <v>299.47566666666665</v>
      </c>
      <c r="Y16" s="6">
        <f ca="1"/>
        <v>282.39</v>
      </c>
      <c r="Z16" s="6">
        <f ca="1"/>
        <v>285.14999999999998</v>
      </c>
      <c r="AA16" s="6">
        <f ca="1"/>
        <v>289.53549999999996</v>
      </c>
      <c r="AB16" s="6">
        <f ca="1"/>
        <v>298.46883333333329</v>
      </c>
      <c r="AC16" s="6">
        <f ca="1"/>
        <v>300.5746666666667</v>
      </c>
      <c r="AD16" s="6">
        <f ca="1"/>
        <v>295.75716666666671</v>
      </c>
      <c r="AE16" s="6">
        <f ca="1"/>
        <v>289.57399999999996</v>
      </c>
      <c r="AF16" s="6">
        <f ca="1"/>
        <v>291.07350000000002</v>
      </c>
      <c r="AG16" s="6">
        <f ca="1"/>
        <v>286.44016666666664</v>
      </c>
      <c r="AH16" s="6">
        <f ca="1"/>
        <v>279.47649999999999</v>
      </c>
      <c r="AI16" s="6">
        <f ca="1"/>
        <v>279.05416666666662</v>
      </c>
      <c r="AJ16" s="6">
        <f ca="1"/>
        <v>282.53100000000001</v>
      </c>
      <c r="AK16" s="6">
        <f ca="1"/>
        <v>285.33159999999998</v>
      </c>
      <c r="AL16" s="6">
        <f ca="1"/>
        <v>286.84080000000006</v>
      </c>
      <c r="AM16" s="6">
        <f ca="1"/>
        <v>286.85939999999999</v>
      </c>
      <c r="AN16" s="6">
        <f ca="1"/>
        <v>286.59499999999997</v>
      </c>
      <c r="AO16" s="6">
        <f ca="1"/>
        <v>285.33260000000001</v>
      </c>
      <c r="AP16" s="6">
        <f ca="1"/>
        <v>282.99020000000002</v>
      </c>
      <c r="AQ16" s="6">
        <f ca="1"/>
        <v>283.39459999999997</v>
      </c>
      <c r="AR16" s="6">
        <f ca="1"/>
        <v>288.6404</v>
      </c>
      <c r="AS16" s="6">
        <f ca="1"/>
        <v>293.07</v>
      </c>
      <c r="AT16" s="6">
        <f ca="1"/>
        <v>292.07859999999999</v>
      </c>
      <c r="AU16" s="6">
        <f ca="1"/>
        <v>290.16880000000003</v>
      </c>
      <c r="AV16" s="6">
        <f ca="1"/>
        <v>288.24840000000006</v>
      </c>
      <c r="AW16" s="6">
        <f ca="1"/>
        <v>284.32440000000008</v>
      </c>
      <c r="AX16" s="6">
        <f ca="1"/>
        <v>281.09739999999999</v>
      </c>
      <c r="AY16" s="6">
        <f ca="1"/>
        <v>277.18439999999998</v>
      </c>
      <c r="AZ16" s="6">
        <f ca="1"/>
        <v>279.81640000000004</v>
      </c>
      <c r="BA16" s="6">
        <f ca="1"/>
        <v>287.33100000000002</v>
      </c>
      <c r="BB16" s="6">
        <f ca="1"/>
        <v>295.37779999999992</v>
      </c>
      <c r="BC16" s="6">
        <f ca="1"/>
        <v>299.50460000000004</v>
      </c>
      <c r="BD16" s="6">
        <f ca="1"/>
        <v>302.86419999999998</v>
      </c>
      <c r="BE16" s="6">
        <f ca="1"/>
        <v>307.8338</v>
      </c>
      <c r="BF16" s="6">
        <f ca="1"/>
        <v>318.33839999999998</v>
      </c>
      <c r="BG16" s="6">
        <f ca="1"/>
        <v>322.31319999999999</v>
      </c>
      <c r="BH16" s="6">
        <f ca="1"/>
        <v>320.90339999999998</v>
      </c>
      <c r="BI16" s="6">
        <f ca="1"/>
        <v>316.65420000000006</v>
      </c>
      <c r="BJ16" s="6">
        <f ca="1"/>
        <v>306.25900000000001</v>
      </c>
      <c r="BK16" s="6">
        <f ca="1"/>
        <v>303.95079999999996</v>
      </c>
      <c r="BL16" s="6">
        <f ca="1"/>
        <v>299.55619999999999</v>
      </c>
      <c r="BM16" s="6">
        <f ca="1"/>
        <v>299.221</v>
      </c>
      <c r="BN16" s="6">
        <f ca="1"/>
        <v>300.5616</v>
      </c>
      <c r="BO16" s="6">
        <f ca="1"/>
        <v>302.24559999999997</v>
      </c>
      <c r="BP16" s="6">
        <f ca="1"/>
        <v>302.33540000000005</v>
      </c>
      <c r="BQ16" s="6">
        <f ca="1"/>
        <v>318.77840000000003</v>
      </c>
      <c r="BR16" s="6">
        <f ca="1"/>
        <v>331.53999999999996</v>
      </c>
      <c r="BS16" s="6">
        <f ca="1"/>
        <v>334.93079999999998</v>
      </c>
      <c r="BT16" s="6">
        <f ca="1"/>
        <v>337.428</v>
      </c>
      <c r="BU16" s="6">
        <f ca="1"/>
        <v>341.77139999999997</v>
      </c>
      <c r="BV16" s="6">
        <f ca="1"/>
        <v>343.25040000000001</v>
      </c>
      <c r="BW16" s="6">
        <f ca="1"/>
        <v>345.15680000000003</v>
      </c>
      <c r="BX16" s="6">
        <f ca="1"/>
        <v>337.76360000000005</v>
      </c>
      <c r="BY16" s="6">
        <f ca="1"/>
        <v>333.67200000000003</v>
      </c>
      <c r="BZ16" s="6">
        <f ca="1"/>
        <v>325.03579999999999</v>
      </c>
      <c r="CA16" s="6">
        <f ca="1"/>
        <v>326.16660000000002</v>
      </c>
      <c r="CB16" s="6">
        <f ca="1"/>
        <v>334.50919999999996</v>
      </c>
      <c r="CC16" s="6">
        <f ca="1"/>
        <v>339.22400000000005</v>
      </c>
      <c r="CD16" s="6">
        <f ca="1"/>
        <v>346.86419999999998</v>
      </c>
      <c r="CE16" s="6">
        <f ca="1"/>
        <v>359.75900000000001</v>
      </c>
      <c r="CF16" s="6">
        <f ca="1"/>
        <v>367.97099999999995</v>
      </c>
      <c r="CG16" s="6">
        <f ca="1"/>
        <v>372.90440000000001</v>
      </c>
      <c r="CH16" s="6">
        <f ca="1"/>
        <v>370.67359999999996</v>
      </c>
      <c r="CI16" s="6">
        <f ca="1"/>
        <v>367.6918</v>
      </c>
      <c r="CJ16" s="6">
        <f ca="1"/>
        <v>365.92259999999999</v>
      </c>
      <c r="CK16" s="6">
        <f ca="1"/>
        <v>369.64599999999996</v>
      </c>
      <c r="CL16" s="6">
        <f ca="1"/>
        <v>360.70233333333334</v>
      </c>
      <c r="CM16" s="6">
        <f ca="1"/>
        <v>360.40966666666668</v>
      </c>
      <c r="CN16" s="6">
        <f ca="1"/>
        <v>350.44299999999998</v>
      </c>
      <c r="CO16" s="6">
        <f ca="1"/>
        <v>339.44133333333338</v>
      </c>
      <c r="CP16" s="6">
        <f ca="1"/>
        <v>363.11966666666666</v>
      </c>
      <c r="CQ16" s="6">
        <f ca="1"/>
        <v>358.88466666666665</v>
      </c>
      <c r="CR16" s="6">
        <f ca="1"/>
        <v>361.15100000000001</v>
      </c>
      <c r="CS16" s="6">
        <f ca="1"/>
        <v>328.37633333333338</v>
      </c>
      <c r="CT16" s="6">
        <f ca="1"/>
        <v>300.19566666666668</v>
      </c>
      <c r="CU16" s="6">
        <f ca="1"/>
        <v>281.20566666666667</v>
      </c>
      <c r="CV16" s="6">
        <f ca="1"/>
        <v>292.80500000000001</v>
      </c>
      <c r="CW16" s="6">
        <f ca="1"/>
        <v>322.69366666666667</v>
      </c>
      <c r="CX16" s="6">
        <f ca="1"/>
        <v>334.79066666666671</v>
      </c>
      <c r="CY16" s="6">
        <f ca="1"/>
        <v>351.93799999999993</v>
      </c>
      <c r="CZ16" s="6">
        <f ca="1"/>
        <v>352.69733333333329</v>
      </c>
      <c r="DA16" s="6">
        <f ca="1"/>
        <v>351.78966666666673</v>
      </c>
      <c r="DB16" s="6">
        <f ca="1"/>
        <v>342.77799999999996</v>
      </c>
      <c r="DC16" s="6">
        <f ca="1"/>
        <v>339.35066666666665</v>
      </c>
      <c r="DD16" s="6">
        <f ca="1"/>
        <v>361.00133333333332</v>
      </c>
      <c r="DE16" s="6">
        <f ca="1"/>
        <v>398.75200000000001</v>
      </c>
      <c r="DF16" s="6">
        <f ca="1"/>
        <v>391.26266666666669</v>
      </c>
      <c r="DG16" s="6">
        <f ca="1"/>
        <v>390.37533333333334</v>
      </c>
      <c r="DH16" s="6">
        <f ca="1"/>
        <v>398.75</v>
      </c>
      <c r="DI16" s="6">
        <f ca="1"/>
        <v>411.63466666666665</v>
      </c>
      <c r="DJ16" s="6">
        <f ca="1"/>
        <v>431.19099999999997</v>
      </c>
      <c r="DK16" s="6">
        <f ca="1"/>
        <v>448.05466666666672</v>
      </c>
      <c r="DL16" s="6">
        <f ca="1"/>
        <v>448.55466666666666</v>
      </c>
      <c r="DM16" s="6">
        <f ca="1"/>
        <v>431.34200000000004</v>
      </c>
      <c r="DN16" s="6">
        <f ca="1"/>
        <v>412.98066666666665</v>
      </c>
      <c r="DO16" s="6">
        <f ca="1"/>
        <v>402.267</v>
      </c>
      <c r="DP16" s="6">
        <f ca="1"/>
        <v>407.50700000000001</v>
      </c>
      <c r="DQ16" s="6">
        <f ca="1"/>
        <v>402.08699999999999</v>
      </c>
      <c r="DR16" s="6">
        <f ca="1"/>
        <v>416.15800000000007</v>
      </c>
      <c r="DS16" s="6">
        <f ca="1"/>
        <v>423.18299999999999</v>
      </c>
      <c r="DT16" s="6">
        <f ca="1"/>
        <v>426.67433333333338</v>
      </c>
      <c r="DU16" s="6">
        <f ca="1"/>
        <v>414.66466666666662</v>
      </c>
      <c r="DV16" s="6">
        <f ca="1"/>
        <v>390.01866666666666</v>
      </c>
      <c r="DW16" s="6">
        <f ca="1"/>
        <v>382.68599999999998</v>
      </c>
      <c r="DX16" s="6">
        <f ca="1"/>
        <v>362.38766666666669</v>
      </c>
      <c r="DY16" s="6">
        <f ca="1"/>
        <v>349.84366666666665</v>
      </c>
      <c r="DZ16" s="6">
        <f ca="1"/>
        <v>367.78</v>
      </c>
      <c r="EA16" s="6">
        <f ca="1"/>
        <v>373.9736666666667</v>
      </c>
      <c r="EB16" s="6">
        <f ca="1"/>
        <v>387.57900000000001</v>
      </c>
      <c r="EC16" s="6">
        <f ca="1"/>
        <v>387.24933333333337</v>
      </c>
      <c r="ED16" s="6">
        <f ca="1"/>
        <v>369.7283333333333</v>
      </c>
      <c r="EE16" s="6">
        <f ca="1"/>
        <v>357.37466666666666</v>
      </c>
      <c r="EF16" s="6">
        <f ca="1"/>
        <v>356.52766666666668</v>
      </c>
      <c r="EG16" s="6">
        <f ca="1"/>
        <v>329.99666666666667</v>
      </c>
      <c r="EH16" s="6">
        <f ca="1"/>
        <v>321.29966666666667</v>
      </c>
      <c r="EI16" s="6">
        <f ca="1"/>
        <v>357.3243333333333</v>
      </c>
      <c r="EJ16" s="6">
        <f ca="1"/>
        <v>398.00033333333334</v>
      </c>
      <c r="EK16" s="6">
        <f ca="1"/>
        <v>418.99166666666662</v>
      </c>
      <c r="EL16" s="6">
        <f ca="1"/>
        <v>459.83300000000003</v>
      </c>
      <c r="EM16" s="6">
        <f ca="1"/>
        <v>469.59699999999998</v>
      </c>
      <c r="EN16" s="6">
        <f ca="1"/>
        <v>468.56600000000003</v>
      </c>
      <c r="EO16" s="6">
        <f ca="1"/>
        <v>471.60599999999999</v>
      </c>
      <c r="EP16" s="6">
        <f ca="1"/>
        <v>478.87899999999996</v>
      </c>
      <c r="EQ16" s="6">
        <f ca="1"/>
        <v>492.49799999999999</v>
      </c>
      <c r="ER16" s="6">
        <f ca="1"/>
        <v>495.35266666666666</v>
      </c>
      <c r="ES16" s="6">
        <f ca="1"/>
        <v>513.73066666666671</v>
      </c>
      <c r="ET16" s="6">
        <f ca="1"/>
        <v>534.2883333333333</v>
      </c>
      <c r="EU16" s="6">
        <f ca="1"/>
        <v>625.03166666666675</v>
      </c>
      <c r="EV16" s="6">
        <f ca="1"/>
        <v>648.64533333333327</v>
      </c>
      <c r="EW16" s="6">
        <f ca="1"/>
        <v>617.68466666666666</v>
      </c>
      <c r="EX16" s="6">
        <f ca="1"/>
        <v>650.07933333333335</v>
      </c>
      <c r="EY16" s="6">
        <f ca="1"/>
        <v>646.52966666666669</v>
      </c>
      <c r="EZ16" s="6">
        <f ca="1"/>
        <v>546.46033333333332</v>
      </c>
      <c r="FA16" s="6">
        <f ca="1"/>
        <v>486.99033333333335</v>
      </c>
      <c r="FB16" s="6">
        <f ca="1"/>
        <v>404.06566666666669</v>
      </c>
      <c r="FC16" s="6">
        <f ca="1"/>
        <v>394.51</v>
      </c>
      <c r="FD16" s="6">
        <f ca="1"/>
        <v>327.55533333333329</v>
      </c>
      <c r="FE16" s="6">
        <f ca="1"/>
        <v>320.93966666666665</v>
      </c>
      <c r="FF16" s="6">
        <f ca="1"/>
        <v>334.46033333333338</v>
      </c>
      <c r="FG16" s="6">
        <f ca="1"/>
        <v>267.43233333333336</v>
      </c>
      <c r="FH16" s="6">
        <f ca="1"/>
        <v>237.58466666666666</v>
      </c>
      <c r="FI16" s="6">
        <f ca="1"/>
        <v>225.48699999999999</v>
      </c>
      <c r="FJ16" s="6">
        <f ca="1"/>
        <v>233.17333333333332</v>
      </c>
      <c r="FK16" s="6">
        <f ca="1"/>
        <v>254.39666666666668</v>
      </c>
      <c r="FL16" s="6">
        <f ca="1"/>
        <v>254.88166666666666</v>
      </c>
      <c r="FM16" s="6">
        <f ca="1"/>
        <v>229.00566666666668</v>
      </c>
      <c r="FN16" s="6">
        <f ca="1"/>
        <v>209.18100000000001</v>
      </c>
      <c r="FO16" s="6">
        <f ca="1"/>
        <v>200.13066666666668</v>
      </c>
      <c r="FP16" s="6">
        <f ca="1"/>
        <v>191.40133333333333</v>
      </c>
      <c r="FQ16" s="6">
        <f ca="1"/>
        <v>172.82399999999998</v>
      </c>
      <c r="FR16" s="6">
        <f ca="1"/>
        <v>174.96</v>
      </c>
      <c r="FS16" s="6">
        <f ca="1"/>
        <v>178.05366666666669</v>
      </c>
      <c r="FT16" s="6">
        <f ca="1"/>
        <v>180.38666666666666</v>
      </c>
      <c r="FU16" s="6">
        <f ca="1"/>
        <v>180.17399999999998</v>
      </c>
      <c r="FV16" s="6">
        <f ca="1"/>
        <v>182.87033333333332</v>
      </c>
      <c r="FW16" s="6">
        <f ca="1"/>
        <v>185.89133333333334</v>
      </c>
      <c r="FX16" s="6">
        <f ca="1"/>
        <v>185.16666666666666</v>
      </c>
      <c r="FY16" s="6">
        <f ca="1"/>
        <v>187.04133333333334</v>
      </c>
      <c r="FZ16" s="6">
        <f ca="1"/>
        <v>190.08233333333337</v>
      </c>
      <c r="GA16" s="6">
        <f ca="1"/>
        <v>186.83699999999999</v>
      </c>
      <c r="GB16" s="6">
        <f ca="1"/>
        <v>184.63</v>
      </c>
      <c r="GC16" s="6">
        <f ca="1"/>
        <v>188.18933333333334</v>
      </c>
      <c r="GD16" s="6">
        <f ca="1"/>
        <v>192.49099999999999</v>
      </c>
      <c r="GE16" s="6">
        <f ca="1"/>
        <v>204.26333333333332</v>
      </c>
      <c r="GF16" s="6">
        <f ca="1"/>
        <v>203.84100000000001</v>
      </c>
      <c r="GG16" s="6">
        <f ca="1"/>
        <v>202.96599999999998</v>
      </c>
      <c r="GH16" s="6">
        <f ca="1"/>
        <v>198.67366666666666</v>
      </c>
      <c r="GI16" s="6">
        <f ca="1"/>
        <v>201.99099999999999</v>
      </c>
      <c r="GJ16" s="6">
        <f ca="1"/>
        <v>209.16333333333333</v>
      </c>
      <c r="GK16" s="6">
        <f ca="1"/>
        <v>196.178</v>
      </c>
      <c r="GL16" s="6">
        <f ca="1"/>
        <v>190.07266666666669</v>
      </c>
      <c r="GM16" s="6">
        <f ca="1"/>
        <v>184.55199999999999</v>
      </c>
      <c r="GN16" s="6">
        <f ca="1"/>
        <v>181.86866666666666</v>
      </c>
      <c r="GO16" s="6">
        <f ca="1"/>
        <v>180.006</v>
      </c>
      <c r="GP16" s="6">
        <f ca="1"/>
        <v>184.89499999999998</v>
      </c>
      <c r="GQ16" s="6">
        <f ca="1"/>
        <v>193.53366666666668</v>
      </c>
      <c r="GR16" s="6">
        <f ca="1"/>
        <v>199.98833333333334</v>
      </c>
      <c r="GS16" s="6">
        <f ca="1"/>
        <v>200.01599999999999</v>
      </c>
      <c r="GT16" s="6">
        <f ca="1"/>
        <v>199.95233333333331</v>
      </c>
      <c r="GU16" s="6">
        <f ca="1"/>
        <v>202.928</v>
      </c>
      <c r="GV16" s="6">
        <f ca="1"/>
        <v>203.60733333333334</v>
      </c>
      <c r="GW16" s="6">
        <f ca="1"/>
        <v>208.73633333333336</v>
      </c>
      <c r="GX16" s="6">
        <f ca="1"/>
        <v>205.92966666666666</v>
      </c>
      <c r="GY16" s="6">
        <f ca="1"/>
        <v>201.34933333333333</v>
      </c>
      <c r="GZ16" s="6">
        <f ca="1"/>
        <v>194.88199999999998</v>
      </c>
      <c r="HA16" s="6">
        <f ca="1"/>
        <v>190.202</v>
      </c>
      <c r="HB16" s="6">
        <f ca="1"/>
        <v>188.65166666666664</v>
      </c>
      <c r="HC16" s="6">
        <f ca="1"/>
        <v>186.792</v>
      </c>
      <c r="HD16" s="6">
        <f ca="1"/>
        <v>190.8836666666667</v>
      </c>
      <c r="HE16" s="6">
        <f ca="1"/>
        <v>192.35233333333335</v>
      </c>
      <c r="HF16" s="6">
        <f ca="1"/>
        <v>190.947</v>
      </c>
      <c r="HG16" s="6">
        <f ca="1"/>
        <v>194.51233333333334</v>
      </c>
      <c r="HH16" s="6">
        <f ca="1"/>
        <v>193.96266666666668</v>
      </c>
      <c r="HI16" s="6">
        <f ca="1"/>
        <v>194.81799999999998</v>
      </c>
      <c r="HJ16" s="6">
        <f ca="1"/>
        <v>197.60400000000001</v>
      </c>
      <c r="HK16" s="6">
        <f ca="1"/>
        <v>196.886</v>
      </c>
      <c r="HL16" s="6">
        <f ca="1"/>
        <v>197.63666666666668</v>
      </c>
      <c r="HM16" s="6">
        <f ca="1"/>
        <v>202.60133333333332</v>
      </c>
      <c r="HN16" s="6">
        <f ca="1"/>
        <v>204.66399999999999</v>
      </c>
      <c r="HO16" s="6">
        <f ca="1"/>
        <v>202.26866666666669</v>
      </c>
      <c r="HP16" s="6">
        <f ca="1"/>
        <v>204.255</v>
      </c>
      <c r="HQ16" s="6">
        <f ca="1"/>
        <v>209.05733333333333</v>
      </c>
      <c r="HR16" s="6">
        <f ca="1"/>
        <v>213.191</v>
      </c>
      <c r="HS16" s="6">
        <f ca="1"/>
        <v>220.41166666666666</v>
      </c>
      <c r="HT16" s="6">
        <f ca="1"/>
        <v>222.607</v>
      </c>
      <c r="HU16" s="6">
        <f ca="1"/>
        <v>213.51699999999997</v>
      </c>
      <c r="HV16" s="6">
        <f ca="1"/>
        <v>216.00066666666666</v>
      </c>
      <c r="HW16" s="6">
        <f ca="1"/>
        <v>220.31266666666667</v>
      </c>
      <c r="HX16" s="6">
        <f ca="1"/>
        <v>223.22366666666665</v>
      </c>
      <c r="HY16" s="6">
        <f ca="1"/>
        <v>222.88133333333334</v>
      </c>
      <c r="HZ16" s="6">
        <f ca="1"/>
        <v>233.28366666666668</v>
      </c>
      <c r="IA16" s="6">
        <f ca="1"/>
        <v>245.547</v>
      </c>
      <c r="IB16" s="6">
        <f ca="1"/>
        <v>247.31266666666667</v>
      </c>
      <c r="IC16" s="6">
        <f ca="1"/>
        <v>247.75266666666667</v>
      </c>
      <c r="ID16" s="6">
        <f ca="1"/>
        <v>242.48000000000002</v>
      </c>
      <c r="IE16" s="6">
        <f ca="1"/>
        <v>240.67466666666667</v>
      </c>
      <c r="IF16" s="6">
        <f ca="1"/>
        <v>240.83366666666666</v>
      </c>
      <c r="IG16" s="6">
        <f ca="1"/>
        <v>239.41399999999999</v>
      </c>
      <c r="IH16" s="6">
        <f ca="1"/>
        <v>236.91866666666667</v>
      </c>
      <c r="II16" s="6">
        <f ca="1"/>
        <v>232.14666666666668</v>
      </c>
      <c r="IJ16" s="6">
        <f ca="1"/>
        <v>231.654</v>
      </c>
      <c r="IK16" s="6">
        <f ca="1"/>
        <v>226.46766666666667</v>
      </c>
      <c r="IL16" s="6">
        <f ca="1"/>
        <v>219.00333333333333</v>
      </c>
      <c r="IM16" s="6">
        <f ca="1"/>
        <v>220.68466666666669</v>
      </c>
      <c r="IN16" s="6">
        <f ca="1"/>
        <v>218.92400000000001</v>
      </c>
      <c r="IO16" s="6">
        <f ca="1"/>
        <v>225.85366666666667</v>
      </c>
      <c r="IP16" s="6">
        <f ca="1"/>
        <v>232.41066666666666</v>
      </c>
      <c r="IQ16" s="6">
        <f ca="1"/>
        <v>234.08799999999999</v>
      </c>
      <c r="IR16" s="6">
        <f ca="1"/>
        <v>229.44433333333333</v>
      </c>
      <c r="IS16" s="6">
        <f ca="1"/>
        <v>225.83233333333331</v>
      </c>
      <c r="IT16" s="6">
        <f ca="1"/>
        <v>219.34866666666667</v>
      </c>
      <c r="IU16" s="6">
        <f ca="1"/>
        <v>221.41666666666666</v>
      </c>
      <c r="IV16" s="6">
        <f ca="1"/>
        <v>225.04833333333332</v>
      </c>
      <c r="IW16" s="6">
        <f ca="1"/>
        <v>228.82000000000002</v>
      </c>
      <c r="IX16" s="6">
        <f ca="1"/>
        <v>231.92766666666668</v>
      </c>
      <c r="IY16" s="6">
        <f ca="1"/>
        <v>234.93633333333332</v>
      </c>
      <c r="IZ16" s="6" t="str">
        <f ca="1"/>
        <v>-</v>
      </c>
    </row>
    <row r="19" spans="2:260" x14ac:dyDescent="0.25">
      <c r="B19" s="7" t="s">
        <v>67</v>
      </c>
      <c r="D19" s="6" cm="1">
        <f t="array" aca="1" ref="D19:IZ19" ca="1">dl_Get_Hist(B19,isin_list,historic_data)</f>
        <v>321.78199999999998</v>
      </c>
      <c r="E19" s="6">
        <f ca="1"/>
        <v>326.11200000000002</v>
      </c>
      <c r="F19" s="6">
        <f ca="1"/>
        <v>336.279</v>
      </c>
      <c r="G19" s="6">
        <f ca="1"/>
        <v>329.08199999999999</v>
      </c>
      <c r="H19" s="6">
        <f ca="1"/>
        <v>317.20800000000003</v>
      </c>
      <c r="I19" s="6">
        <f ca="1"/>
        <v>307.62099999999998</v>
      </c>
      <c r="J19" s="6">
        <f ca="1"/>
        <v>316.01499999999999</v>
      </c>
      <c r="K19" s="6">
        <f ca="1"/>
        <v>322.43799999999999</v>
      </c>
      <c r="L19" s="6">
        <f ca="1"/>
        <v>316.84199999999998</v>
      </c>
      <c r="M19" s="6">
        <f ca="1"/>
        <v>322.75200000000001</v>
      </c>
      <c r="N19" s="6">
        <f ca="1"/>
        <v>332.69299999999998</v>
      </c>
      <c r="O19" s="6">
        <f ca="1"/>
        <v>341.05599999999998</v>
      </c>
      <c r="P19" s="6">
        <f ca="1"/>
        <v>343.04700000000003</v>
      </c>
      <c r="Q19" s="6">
        <f ca="1"/>
        <v>345.67899999999997</v>
      </c>
      <c r="R19" s="6">
        <f ca="1"/>
        <v>349.30399999999997</v>
      </c>
      <c r="S19" s="6">
        <f ca="1"/>
        <v>345.45600000000002</v>
      </c>
      <c r="T19" s="6">
        <f ca="1"/>
        <v>363.21</v>
      </c>
      <c r="U19" s="6">
        <f ca="1"/>
        <v>354.69</v>
      </c>
      <c r="V19" s="6">
        <f ca="1"/>
        <v>333.91300000000001</v>
      </c>
      <c r="W19" s="6">
        <f ca="1"/>
        <v>331.00200000000001</v>
      </c>
      <c r="X19" s="6">
        <f ca="1"/>
        <v>324.71499999999997</v>
      </c>
      <c r="Y19" s="6">
        <f ca="1"/>
        <v>297.24799999999999</v>
      </c>
      <c r="Z19" s="6">
        <f ca="1"/>
        <v>298.00299999999999</v>
      </c>
      <c r="AA19" s="6">
        <f ca="1"/>
        <v>291.69600000000003</v>
      </c>
      <c r="AB19" s="6">
        <f ca="1"/>
        <v>312.55099999999999</v>
      </c>
      <c r="AC19" s="6">
        <f ca="1"/>
        <v>318.32499999999999</v>
      </c>
      <c r="AD19" s="6">
        <f ca="1"/>
        <v>326.10300000000001</v>
      </c>
      <c r="AE19" s="6">
        <f ca="1"/>
        <v>315.34199999999998</v>
      </c>
      <c r="AF19" s="6">
        <f ca="1"/>
        <v>312.74099999999999</v>
      </c>
      <c r="AG19" s="6">
        <f ca="1"/>
        <v>328.61200000000002</v>
      </c>
      <c r="AH19" s="6">
        <f ca="1"/>
        <v>323.101</v>
      </c>
      <c r="AI19" s="6">
        <f ca="1"/>
        <v>325.75799999999998</v>
      </c>
      <c r="AJ19" s="6">
        <f ca="1"/>
        <v>322.66399999999999</v>
      </c>
      <c r="AK19" s="6">
        <f ca="1"/>
        <v>306.71199999999999</v>
      </c>
      <c r="AL19" s="6">
        <f ca="1"/>
        <v>311.21100000000001</v>
      </c>
      <c r="AM19" s="6">
        <f ca="1"/>
        <v>324.14299999999997</v>
      </c>
      <c r="AN19" s="6">
        <f ca="1"/>
        <v>320.29000000000002</v>
      </c>
      <c r="AO19" s="6">
        <f ca="1"/>
        <v>323.411</v>
      </c>
      <c r="AP19" s="6">
        <f ca="1"/>
        <v>329.298</v>
      </c>
      <c r="AQ19" s="6">
        <f ca="1"/>
        <v>326.54500000000002</v>
      </c>
      <c r="AR19" s="6">
        <f ca="1"/>
        <v>332.81299999999999</v>
      </c>
      <c r="AS19" s="6">
        <f ca="1"/>
        <v>337.67200000000003</v>
      </c>
      <c r="AT19" s="6">
        <f ca="1"/>
        <v>334.70699999999999</v>
      </c>
      <c r="AU19" s="6">
        <f ca="1"/>
        <v>341.21699999999998</v>
      </c>
      <c r="AV19" s="6">
        <f ca="1"/>
        <v>340.41199999999998</v>
      </c>
      <c r="AW19" s="6">
        <f ca="1"/>
        <v>344.096</v>
      </c>
      <c r="AX19" s="6">
        <f ca="1"/>
        <v>334.70600000000002</v>
      </c>
      <c r="AY19" s="6">
        <f ca="1"/>
        <v>335.142</v>
      </c>
      <c r="AZ19" s="6">
        <f ca="1"/>
        <v>342.50299999999999</v>
      </c>
      <c r="BA19" s="6">
        <f ca="1"/>
        <v>347.44400000000002</v>
      </c>
      <c r="BB19" s="6">
        <f ca="1"/>
        <v>343.101</v>
      </c>
      <c r="BC19" s="6">
        <f ca="1"/>
        <v>347.38099999999997</v>
      </c>
      <c r="BD19" s="6">
        <f ca="1"/>
        <v>343.286</v>
      </c>
      <c r="BE19" s="6">
        <f ca="1"/>
        <v>353.09399999999999</v>
      </c>
      <c r="BF19" s="6">
        <f ca="1"/>
        <v>358.90800000000002</v>
      </c>
      <c r="BG19" s="6">
        <f ca="1"/>
        <v>377.26</v>
      </c>
      <c r="BH19" s="6">
        <f ca="1"/>
        <v>378.03199999999998</v>
      </c>
      <c r="BI19" s="6">
        <f ca="1"/>
        <v>360.86599999999999</v>
      </c>
      <c r="BJ19" s="6">
        <f ca="1"/>
        <v>366.15600000000001</v>
      </c>
      <c r="BK19" s="6">
        <f ca="1"/>
        <v>360.82600000000002</v>
      </c>
      <c r="BL19" s="6">
        <f ca="1"/>
        <v>346.43</v>
      </c>
      <c r="BM19" s="6">
        <f ca="1"/>
        <v>339.73599999999999</v>
      </c>
      <c r="BN19" s="6">
        <f ca="1"/>
        <v>343.41300000000001</v>
      </c>
      <c r="BO19" s="6">
        <f ca="1"/>
        <v>341.96699999999998</v>
      </c>
      <c r="BP19" s="6">
        <f ca="1"/>
        <v>345.01100000000002</v>
      </c>
      <c r="BQ19" s="6">
        <f ca="1"/>
        <v>367.899</v>
      </c>
      <c r="BR19" s="6">
        <f ca="1"/>
        <v>367.084</v>
      </c>
      <c r="BS19" s="6">
        <f ca="1"/>
        <v>368.78500000000003</v>
      </c>
      <c r="BT19" s="6">
        <f ca="1"/>
        <v>374.11599999999999</v>
      </c>
      <c r="BU19" s="6">
        <f ca="1"/>
        <v>368.935</v>
      </c>
      <c r="BV19" s="6">
        <f ca="1"/>
        <v>377.52</v>
      </c>
      <c r="BW19" s="6">
        <f ca="1"/>
        <v>374.35500000000002</v>
      </c>
      <c r="BX19" s="6">
        <f ca="1"/>
        <v>365.34</v>
      </c>
      <c r="BY19" s="6">
        <f ca="1"/>
        <v>364.601</v>
      </c>
      <c r="BZ19" s="6">
        <f ca="1"/>
        <v>355.358</v>
      </c>
      <c r="CA19" s="6">
        <f ca="1"/>
        <v>373.22800000000001</v>
      </c>
      <c r="CB19" s="6">
        <f ca="1"/>
        <v>368.53800000000001</v>
      </c>
      <c r="CC19" s="6">
        <f ca="1"/>
        <v>369.67</v>
      </c>
      <c r="CD19" s="6">
        <f ca="1"/>
        <v>382.27699999999999</v>
      </c>
      <c r="CE19" s="6">
        <f ca="1"/>
        <v>396.30799999999999</v>
      </c>
      <c r="CF19" s="6">
        <f ca="1"/>
        <v>407.86200000000002</v>
      </c>
      <c r="CG19" s="6">
        <f ca="1"/>
        <v>397.64600000000002</v>
      </c>
      <c r="CH19" s="6">
        <f ca="1"/>
        <v>398.988</v>
      </c>
      <c r="CI19" s="6">
        <f ca="1"/>
        <v>378.41199999999998</v>
      </c>
      <c r="CJ19" s="6">
        <f ca="1"/>
        <v>392.30799999999999</v>
      </c>
      <c r="CK19" s="6">
        <f ca="1"/>
        <v>385.863</v>
      </c>
      <c r="CL19" s="6">
        <f ca="1"/>
        <v>384.30500000000001</v>
      </c>
      <c r="CM19" s="6">
        <f ca="1"/>
        <v>373.08199999999999</v>
      </c>
      <c r="CN19" s="6">
        <f ca="1"/>
        <v>371.26400000000001</v>
      </c>
      <c r="CO19" s="6">
        <f ca="1"/>
        <v>404.48099999999999</v>
      </c>
      <c r="CP19" s="6">
        <f ca="1"/>
        <v>398.47199999999998</v>
      </c>
      <c r="CQ19" s="6">
        <f ca="1"/>
        <v>402.267</v>
      </c>
      <c r="CR19" s="6">
        <f ca="1"/>
        <v>376.822</v>
      </c>
      <c r="CS19" s="6">
        <f ca="1"/>
        <v>360.70299999999997</v>
      </c>
      <c r="CT19" s="6">
        <f ca="1"/>
        <v>341.54899999999998</v>
      </c>
      <c r="CU19" s="6">
        <f ca="1"/>
        <v>337.03500000000003</v>
      </c>
      <c r="CV19" s="6">
        <f ca="1"/>
        <v>370.49099999999999</v>
      </c>
      <c r="CW19" s="6">
        <f ca="1"/>
        <v>376.07600000000002</v>
      </c>
      <c r="CX19" s="6">
        <f ca="1"/>
        <v>389.67599999999999</v>
      </c>
      <c r="CY19" s="6">
        <f ca="1"/>
        <v>412.98200000000003</v>
      </c>
      <c r="CZ19" s="6">
        <f ca="1"/>
        <v>428.80799999999999</v>
      </c>
      <c r="DA19" s="6">
        <f ca="1"/>
        <v>415.16699999999997</v>
      </c>
      <c r="DB19" s="6">
        <f ca="1"/>
        <v>429.084</v>
      </c>
      <c r="DC19" s="6">
        <f ca="1"/>
        <v>446.91</v>
      </c>
      <c r="DD19" s="6">
        <f ca="1"/>
        <v>483.387</v>
      </c>
      <c r="DE19" s="6">
        <f ca="1"/>
        <v>476.26799999999997</v>
      </c>
      <c r="DF19" s="6">
        <f ca="1"/>
        <v>460.41800000000001</v>
      </c>
      <c r="DG19" s="6">
        <f ca="1"/>
        <v>490.161</v>
      </c>
      <c r="DH19" s="6">
        <f ca="1"/>
        <v>498.572</v>
      </c>
      <c r="DI19" s="6">
        <f ca="1"/>
        <v>542.04</v>
      </c>
      <c r="DJ19" s="6">
        <f ca="1"/>
        <v>540.76</v>
      </c>
      <c r="DK19" s="6">
        <f ca="1"/>
        <v>521.06299999999999</v>
      </c>
      <c r="DL19" s="6">
        <f ca="1"/>
        <v>502.798</v>
      </c>
      <c r="DM19" s="6">
        <f ca="1"/>
        <v>506.63400000000001</v>
      </c>
      <c r="DN19" s="6">
        <f ca="1"/>
        <v>515.21299999999997</v>
      </c>
      <c r="DO19" s="6">
        <f ca="1"/>
        <v>521.255</v>
      </c>
      <c r="DP19" s="6">
        <f ca="1"/>
        <v>509.11</v>
      </c>
      <c r="DQ19" s="6">
        <f ca="1"/>
        <v>522.53300000000002</v>
      </c>
      <c r="DR19" s="6">
        <f ca="1"/>
        <v>512.05799999999999</v>
      </c>
      <c r="DS19" s="6">
        <f ca="1"/>
        <v>491.52199999999999</v>
      </c>
      <c r="DT19" s="6">
        <f ca="1"/>
        <v>477.37</v>
      </c>
      <c r="DU19" s="6">
        <f ca="1"/>
        <v>494.452</v>
      </c>
      <c r="DV19" s="6">
        <f ca="1"/>
        <v>492.62299999999999</v>
      </c>
      <c r="DW19" s="6">
        <f ca="1"/>
        <v>501.517</v>
      </c>
      <c r="DX19" s="6">
        <f ca="1"/>
        <v>486.464</v>
      </c>
      <c r="DY19" s="6">
        <f ca="1"/>
        <v>505.649</v>
      </c>
      <c r="DZ19" s="6">
        <f ca="1"/>
        <v>555.54700000000003</v>
      </c>
      <c r="EA19" s="6">
        <f ca="1"/>
        <v>504.26900000000001</v>
      </c>
      <c r="EB19" s="6">
        <f ca="1"/>
        <v>485.09100000000001</v>
      </c>
      <c r="EC19" s="6">
        <f ca="1"/>
        <v>494.238</v>
      </c>
      <c r="ED19" s="6">
        <f ca="1"/>
        <v>490.81200000000001</v>
      </c>
      <c r="EE19" s="6">
        <f ca="1"/>
        <v>449.52300000000002</v>
      </c>
      <c r="EF19" s="6">
        <f ca="1"/>
        <v>464.22800000000001</v>
      </c>
      <c r="EG19" s="6">
        <f ca="1"/>
        <v>531.60699999999997</v>
      </c>
      <c r="EH19" s="6">
        <f ca="1"/>
        <v>540.47199999999998</v>
      </c>
      <c r="EI19" s="6">
        <f ca="1"/>
        <v>583.51199999999994</v>
      </c>
      <c r="EJ19" s="6">
        <f ca="1"/>
        <v>638.13199999999995</v>
      </c>
      <c r="EK19" s="6">
        <f ca="1"/>
        <v>612.53399999999999</v>
      </c>
      <c r="EL19" s="6">
        <f ca="1"/>
        <v>605.745</v>
      </c>
      <c r="EM19" s="6">
        <f ca="1"/>
        <v>571.76800000000003</v>
      </c>
      <c r="EN19" s="6">
        <f ca="1"/>
        <v>581.697</v>
      </c>
      <c r="EO19" s="6">
        <f ca="1"/>
        <v>576.11599999999999</v>
      </c>
      <c r="EP19" s="6">
        <f ca="1"/>
        <v>513.83799999999997</v>
      </c>
      <c r="EQ19" s="6">
        <f ca="1"/>
        <v>531.37599999999998</v>
      </c>
      <c r="ER19" s="6">
        <f ca="1"/>
        <v>594.97500000000002</v>
      </c>
      <c r="ES19" s="6">
        <f ca="1"/>
        <v>691.55200000000002</v>
      </c>
      <c r="ET19" s="6">
        <f ca="1"/>
        <v>675.24699999999996</v>
      </c>
      <c r="EU19" s="6">
        <f ca="1"/>
        <v>674.726</v>
      </c>
      <c r="EV19" s="6">
        <f ca="1"/>
        <v>707.64400000000001</v>
      </c>
      <c r="EW19" s="6">
        <f ca="1"/>
        <v>613.21400000000006</v>
      </c>
      <c r="EX19" s="6">
        <f ca="1"/>
        <v>618.53399999999999</v>
      </c>
      <c r="EY19" s="6">
        <f ca="1"/>
        <v>518.63499999999999</v>
      </c>
      <c r="EZ19" s="6">
        <f ca="1"/>
        <v>554.16700000000003</v>
      </c>
      <c r="FA19" s="6">
        <f ca="1"/>
        <v>479.64299999999997</v>
      </c>
      <c r="FB19" s="6">
        <f ca="1"/>
        <v>455.83499999999998</v>
      </c>
      <c r="FC19" s="6">
        <f ca="1"/>
        <v>465.13600000000002</v>
      </c>
      <c r="FD19" s="6">
        <f ca="1"/>
        <v>383.322</v>
      </c>
      <c r="FE19" s="6">
        <f ca="1"/>
        <v>325.17399999999998</v>
      </c>
      <c r="FF19" s="6">
        <f ca="1"/>
        <v>292.82400000000001</v>
      </c>
      <c r="FG19" s="6">
        <f ca="1"/>
        <v>282.91399999999999</v>
      </c>
      <c r="FH19" s="6">
        <f ca="1"/>
        <v>304.09399999999999</v>
      </c>
      <c r="FI19" s="6">
        <f ca="1"/>
        <v>303.27199999999999</v>
      </c>
      <c r="FJ19" s="6">
        <f ca="1"/>
        <v>272.084</v>
      </c>
      <c r="FK19" s="6">
        <f ca="1"/>
        <v>258.35899999999998</v>
      </c>
      <c r="FL19" s="6">
        <f ca="1"/>
        <v>253.90299999999999</v>
      </c>
      <c r="FM19" s="6">
        <f ca="1"/>
        <v>243.233</v>
      </c>
      <c r="FN19" s="6">
        <f ca="1"/>
        <v>219.42699999999999</v>
      </c>
      <c r="FO19" s="6">
        <f ca="1"/>
        <v>215.76900000000001</v>
      </c>
      <c r="FP19" s="6">
        <f ca="1"/>
        <v>212.35300000000001</v>
      </c>
      <c r="FQ19" s="6">
        <f ca="1"/>
        <v>214.155</v>
      </c>
      <c r="FR19" s="6">
        <f ca="1"/>
        <v>210.965</v>
      </c>
      <c r="FS19" s="6">
        <f ca="1"/>
        <v>212.839</v>
      </c>
      <c r="FT19" s="6">
        <f ca="1"/>
        <v>212.36500000000001</v>
      </c>
      <c r="FU19" s="6">
        <f ca="1"/>
        <v>210.14500000000001</v>
      </c>
      <c r="FV19" s="6">
        <f ca="1"/>
        <v>210.911</v>
      </c>
      <c r="FW19" s="6">
        <f ca="1"/>
        <v>213.477</v>
      </c>
      <c r="FX19" s="6">
        <f ca="1"/>
        <v>216.18600000000001</v>
      </c>
      <c r="FY19" s="6">
        <f ca="1"/>
        <v>212.47499999999999</v>
      </c>
      <c r="FZ19" s="6">
        <f ca="1"/>
        <v>213.17500000000001</v>
      </c>
      <c r="GA19" s="6">
        <f ca="1"/>
        <v>217.76</v>
      </c>
      <c r="GB19" s="6">
        <f ca="1"/>
        <v>228.11199999999999</v>
      </c>
      <c r="GC19" s="6">
        <f ca="1"/>
        <v>230.55500000000001</v>
      </c>
      <c r="GD19" s="6">
        <f ca="1"/>
        <v>227.22399999999999</v>
      </c>
      <c r="GE19" s="6">
        <f ca="1"/>
        <v>222.53899999999999</v>
      </c>
      <c r="GF19" s="6">
        <f ca="1"/>
        <v>220.91499999999999</v>
      </c>
      <c r="GG19" s="6">
        <f ca="1"/>
        <v>228.983</v>
      </c>
      <c r="GH19" s="6">
        <f ca="1"/>
        <v>219.95400000000001</v>
      </c>
      <c r="GI19" s="6">
        <f ca="1"/>
        <v>217.96600000000001</v>
      </c>
      <c r="GJ19" s="6">
        <f ca="1"/>
        <v>213.18</v>
      </c>
      <c r="GK19" s="6">
        <f ca="1"/>
        <v>211.858</v>
      </c>
      <c r="GL19" s="6">
        <f ca="1"/>
        <v>208.41399999999999</v>
      </c>
      <c r="GM19" s="6">
        <f ca="1"/>
        <v>207.321</v>
      </c>
      <c r="GN19" s="6">
        <f ca="1"/>
        <v>207.50399999999999</v>
      </c>
      <c r="GO19" s="6">
        <f ca="1"/>
        <v>208.65899999999999</v>
      </c>
      <c r="GP19" s="6">
        <f ca="1"/>
        <v>209.68100000000001</v>
      </c>
      <c r="GQ19" s="6">
        <f ca="1"/>
        <v>206.95500000000001</v>
      </c>
      <c r="GR19" s="6">
        <f ca="1"/>
        <v>205.57599999999999</v>
      </c>
      <c r="GS19" s="6">
        <f ca="1"/>
        <v>203.66499999999999</v>
      </c>
      <c r="GT19" s="6">
        <f ca="1"/>
        <v>207.459</v>
      </c>
      <c r="GU19" s="6">
        <f ca="1"/>
        <v>212.48599999999999</v>
      </c>
      <c r="GV19" s="6">
        <f ca="1"/>
        <v>212.32400000000001</v>
      </c>
      <c r="GW19" s="6">
        <f ca="1"/>
        <v>209.15700000000001</v>
      </c>
      <c r="GX19" s="6">
        <f ca="1"/>
        <v>204.65899999999999</v>
      </c>
      <c r="GY19" s="6">
        <f ca="1"/>
        <v>207.203</v>
      </c>
      <c r="GZ19" s="6">
        <f ca="1"/>
        <v>205.16900000000001</v>
      </c>
      <c r="HA19" s="6">
        <f ca="1"/>
        <v>204.37700000000001</v>
      </c>
      <c r="HB19" s="6">
        <f ca="1"/>
        <v>208.85</v>
      </c>
      <c r="HC19" s="6">
        <f ca="1"/>
        <v>208.92599999999999</v>
      </c>
      <c r="HD19" s="6">
        <f ca="1"/>
        <v>205.04300000000001</v>
      </c>
      <c r="HE19" s="6">
        <f ca="1"/>
        <v>209.11</v>
      </c>
      <c r="HF19" s="6">
        <f ca="1"/>
        <v>210.184</v>
      </c>
      <c r="HG19" s="6">
        <f ca="1"/>
        <v>210.96899999999999</v>
      </c>
      <c r="HH19" s="6">
        <f ca="1"/>
        <v>209.09399999999999</v>
      </c>
      <c r="HI19" s="6">
        <f ca="1"/>
        <v>215.30600000000001</v>
      </c>
      <c r="HJ19" s="6">
        <f ca="1"/>
        <v>220.40600000000001</v>
      </c>
      <c r="HK19" s="6">
        <f ca="1"/>
        <v>221.58099999999999</v>
      </c>
      <c r="HL19" s="6">
        <f ca="1"/>
        <v>221.267</v>
      </c>
      <c r="HM19" s="6">
        <f ca="1"/>
        <v>221.11</v>
      </c>
      <c r="HN19" s="6">
        <f ca="1"/>
        <v>220.02799999999999</v>
      </c>
      <c r="HO19" s="6">
        <f ca="1"/>
        <v>224.16200000000001</v>
      </c>
      <c r="HP19" s="6">
        <f ca="1"/>
        <v>223.46299999999999</v>
      </c>
      <c r="HQ19" s="6">
        <f ca="1"/>
        <v>229.54499999999999</v>
      </c>
      <c r="HR19" s="6">
        <f ca="1"/>
        <v>225.58799999999999</v>
      </c>
      <c r="HS19" s="6">
        <f ca="1"/>
        <v>220.89699999999999</v>
      </c>
      <c r="HT19" s="6">
        <f ca="1"/>
        <v>221.892</v>
      </c>
      <c r="HU19" s="6">
        <f ca="1"/>
        <v>222.655</v>
      </c>
      <c r="HV19" s="6">
        <f ca="1"/>
        <v>226.678</v>
      </c>
      <c r="HW19" s="6">
        <f ca="1"/>
        <v>228.012</v>
      </c>
      <c r="HX19" s="6">
        <f ca="1"/>
        <v>234.00700000000001</v>
      </c>
      <c r="HY19" s="6">
        <f ca="1"/>
        <v>234.869</v>
      </c>
      <c r="HZ19" s="6">
        <f ca="1"/>
        <v>235.85599999999999</v>
      </c>
      <c r="IA19" s="6">
        <f ca="1"/>
        <v>232.97900000000001</v>
      </c>
      <c r="IB19" s="6">
        <f ca="1"/>
        <v>231.65</v>
      </c>
      <c r="IC19" s="6">
        <f ca="1"/>
        <v>232.566</v>
      </c>
      <c r="ID19" s="6">
        <f ca="1"/>
        <v>239.971</v>
      </c>
      <c r="IE19" s="6">
        <f ca="1"/>
        <v>235.5</v>
      </c>
      <c r="IF19" s="6">
        <f ca="1"/>
        <v>231.16499999999999</v>
      </c>
      <c r="IG19" s="6">
        <f ca="1"/>
        <v>229.898</v>
      </c>
      <c r="IH19" s="6">
        <f ca="1"/>
        <v>230.5</v>
      </c>
      <c r="II19" s="6">
        <f ca="1"/>
        <v>232.09800000000001</v>
      </c>
      <c r="IJ19" s="6">
        <f ca="1"/>
        <v>234.363</v>
      </c>
      <c r="IK19" s="6">
        <f ca="1"/>
        <v>228.476</v>
      </c>
      <c r="IL19" s="6">
        <f ca="1"/>
        <v>226.197</v>
      </c>
      <c r="IM19" s="6">
        <f ca="1"/>
        <v>232.56200000000001</v>
      </c>
      <c r="IN19" s="6">
        <f ca="1"/>
        <v>239.399</v>
      </c>
      <c r="IO19" s="6">
        <f ca="1"/>
        <v>236.90700000000001</v>
      </c>
      <c r="IP19" s="6">
        <f ca="1"/>
        <v>232.541</v>
      </c>
      <c r="IQ19" s="6">
        <f ca="1"/>
        <v>227.88800000000001</v>
      </c>
      <c r="IR19" s="6">
        <f ca="1"/>
        <v>228.15899999999999</v>
      </c>
      <c r="IS19" s="6">
        <f ca="1"/>
        <v>231.71799999999999</v>
      </c>
      <c r="IT19" s="6">
        <f ca="1"/>
        <v>228.542</v>
      </c>
      <c r="IU19" s="6">
        <f ca="1"/>
        <v>225.74199999999999</v>
      </c>
      <c r="IV19" s="6">
        <f ca="1"/>
        <v>224.959</v>
      </c>
      <c r="IW19" s="6" t="str">
        <f ca="1"/>
        <v>-</v>
      </c>
      <c r="IX19" s="6" t="str">
        <f ca="1"/>
        <v>-</v>
      </c>
      <c r="IY19" s="6" t="str">
        <f ca="1"/>
        <v>-</v>
      </c>
      <c r="IZ19" s="6" t="str">
        <f ca="1"/>
        <v>-</v>
      </c>
    </row>
    <row r="20" spans="2:260" x14ac:dyDescent="0.25">
      <c r="B20" s="7" t="s">
        <v>71</v>
      </c>
      <c r="D20" s="6" cm="1">
        <f t="array" aca="1" ref="D20:IZ20" ca="1">dl_Get_Hist(B20,isin_list,historic_data)</f>
        <v>52.741999999999997</v>
      </c>
      <c r="E20" s="6">
        <f ca="1"/>
        <v>53.534999999999997</v>
      </c>
      <c r="F20" s="6">
        <f ca="1"/>
        <v>55.930999999999997</v>
      </c>
      <c r="G20" s="6">
        <f ca="1"/>
        <v>53.826000000000001</v>
      </c>
      <c r="H20" s="6">
        <f ca="1"/>
        <v>51.978000000000002</v>
      </c>
      <c r="I20" s="6">
        <f ca="1"/>
        <v>50.761000000000003</v>
      </c>
      <c r="J20" s="6">
        <f ca="1"/>
        <v>51.991999999999997</v>
      </c>
      <c r="K20" s="6">
        <f ca="1"/>
        <v>54.115000000000002</v>
      </c>
      <c r="L20" s="6">
        <f ca="1"/>
        <v>53.319000000000003</v>
      </c>
      <c r="M20" s="6">
        <f ca="1"/>
        <v>54.597000000000001</v>
      </c>
      <c r="N20" s="6">
        <f ca="1"/>
        <v>56.695999999999998</v>
      </c>
      <c r="O20" s="6">
        <f ca="1"/>
        <v>58.463999999999999</v>
      </c>
      <c r="P20" s="6">
        <f ca="1"/>
        <v>59.087000000000003</v>
      </c>
      <c r="Q20" s="6">
        <f ca="1"/>
        <v>59.561999999999998</v>
      </c>
      <c r="R20" s="6">
        <f ca="1"/>
        <v>60.688000000000002</v>
      </c>
      <c r="S20" s="6">
        <f ca="1"/>
        <v>59.715000000000003</v>
      </c>
      <c r="T20" s="6">
        <f ca="1"/>
        <v>62.204000000000001</v>
      </c>
      <c r="U20" s="6">
        <f ca="1"/>
        <v>61.155999999999999</v>
      </c>
      <c r="V20" s="6">
        <f ca="1"/>
        <v>58.555</v>
      </c>
      <c r="W20" s="6">
        <f ca="1"/>
        <v>57.972000000000001</v>
      </c>
      <c r="X20" s="6">
        <f ca="1"/>
        <v>57.347999999999999</v>
      </c>
      <c r="Y20" s="6">
        <f ca="1"/>
        <v>55.393000000000001</v>
      </c>
      <c r="Z20" s="6">
        <f ca="1"/>
        <v>54.844999999999999</v>
      </c>
      <c r="AA20" s="6">
        <f ca="1"/>
        <v>53.665999999999997</v>
      </c>
      <c r="AB20" s="6">
        <f ca="1"/>
        <v>54.081000000000003</v>
      </c>
      <c r="AC20" s="6">
        <f ca="1"/>
        <v>54.555999999999997</v>
      </c>
      <c r="AD20" s="6">
        <f ca="1"/>
        <v>55.41</v>
      </c>
      <c r="AE20" s="6">
        <f ca="1"/>
        <v>54.478999999999999</v>
      </c>
      <c r="AF20" s="6">
        <f ca="1"/>
        <v>53.317999999999998</v>
      </c>
      <c r="AG20" s="6">
        <f ca="1"/>
        <v>53.798999999999999</v>
      </c>
      <c r="AH20" s="6">
        <f ca="1"/>
        <v>52.814</v>
      </c>
      <c r="AI20" s="6">
        <f ca="1"/>
        <v>52.774999999999999</v>
      </c>
      <c r="AJ20" s="6">
        <f ca="1"/>
        <v>52</v>
      </c>
      <c r="AK20" s="6">
        <f ca="1"/>
        <v>50.344000000000001</v>
      </c>
      <c r="AL20" s="6">
        <f ca="1"/>
        <v>51.848999999999997</v>
      </c>
      <c r="AM20" s="6">
        <f ca="1"/>
        <v>54.335000000000001</v>
      </c>
      <c r="AN20" s="6">
        <f ca="1"/>
        <v>53.91</v>
      </c>
      <c r="AO20" s="6">
        <f ca="1"/>
        <v>54.024999999999999</v>
      </c>
      <c r="AP20" s="6">
        <f ca="1"/>
        <v>54.814</v>
      </c>
      <c r="AQ20" s="6">
        <f ca="1"/>
        <v>53.795999999999999</v>
      </c>
      <c r="AR20" s="6">
        <f ca="1"/>
        <v>54.817</v>
      </c>
      <c r="AS20" s="6">
        <f ca="1"/>
        <v>56.136000000000003</v>
      </c>
      <c r="AT20" s="6">
        <f ca="1"/>
        <v>54.78</v>
      </c>
      <c r="AU20" s="6">
        <f ca="1"/>
        <v>54.511000000000003</v>
      </c>
      <c r="AV20" s="6">
        <f ca="1"/>
        <v>54.238</v>
      </c>
      <c r="AW20" s="6">
        <f ca="1"/>
        <v>54.475999999999999</v>
      </c>
      <c r="AX20" s="6">
        <f ca="1"/>
        <v>52.988999999999997</v>
      </c>
      <c r="AY20" s="6">
        <f ca="1"/>
        <v>52.332999999999998</v>
      </c>
      <c r="AZ20" s="6">
        <f ca="1"/>
        <v>52.795000000000002</v>
      </c>
      <c r="BA20" s="6">
        <f ca="1"/>
        <v>54.37</v>
      </c>
      <c r="BB20" s="6">
        <f ca="1"/>
        <v>54.323</v>
      </c>
      <c r="BC20" s="6">
        <f ca="1"/>
        <v>55.466000000000001</v>
      </c>
      <c r="BD20" s="6">
        <f ca="1"/>
        <v>55.473999999999997</v>
      </c>
      <c r="BE20" s="6">
        <f ca="1"/>
        <v>56.823999999999998</v>
      </c>
      <c r="BF20" s="6">
        <f ca="1"/>
        <v>57.798999999999999</v>
      </c>
      <c r="BG20" s="6">
        <f ca="1"/>
        <v>60.686</v>
      </c>
      <c r="BH20" s="6">
        <f ca="1"/>
        <v>60.966000000000001</v>
      </c>
      <c r="BI20" s="6">
        <f ca="1"/>
        <v>59.296999999999997</v>
      </c>
      <c r="BJ20" s="6">
        <f ca="1"/>
        <v>60.337000000000003</v>
      </c>
      <c r="BK20" s="6">
        <f ca="1"/>
        <v>59.786999999999999</v>
      </c>
      <c r="BL20" s="6">
        <f ca="1"/>
        <v>58.207999999999998</v>
      </c>
      <c r="BM20" s="6">
        <f ca="1"/>
        <v>57.866</v>
      </c>
      <c r="BN20" s="6">
        <f ca="1"/>
        <v>58.115000000000002</v>
      </c>
      <c r="BO20" s="6">
        <f ca="1"/>
        <v>57.723999999999997</v>
      </c>
      <c r="BP20" s="6">
        <f ca="1"/>
        <v>58.587000000000003</v>
      </c>
      <c r="BQ20" s="6">
        <f ca="1"/>
        <v>61.865000000000002</v>
      </c>
      <c r="BR20" s="6">
        <f ca="1"/>
        <v>61.39</v>
      </c>
      <c r="BS20" s="6">
        <f ca="1"/>
        <v>61.54</v>
      </c>
      <c r="BT20" s="6">
        <f ca="1"/>
        <v>61.938000000000002</v>
      </c>
      <c r="BU20" s="6">
        <f ca="1"/>
        <v>60.99</v>
      </c>
      <c r="BV20" s="6">
        <f ca="1"/>
        <v>63.304000000000002</v>
      </c>
      <c r="BW20" s="6">
        <f ca="1"/>
        <v>63.375</v>
      </c>
      <c r="BX20" s="6">
        <f ca="1"/>
        <v>62.66</v>
      </c>
      <c r="BY20" s="6">
        <f ca="1"/>
        <v>62.58</v>
      </c>
      <c r="BZ20" s="6">
        <f ca="1"/>
        <v>61.320999999999998</v>
      </c>
      <c r="CA20" s="6">
        <f ca="1"/>
        <v>63.954999999999998</v>
      </c>
      <c r="CB20" s="6">
        <f ca="1"/>
        <v>63.98</v>
      </c>
      <c r="CC20" s="6">
        <f ca="1"/>
        <v>65.075999999999993</v>
      </c>
      <c r="CD20" s="6">
        <f ca="1"/>
        <v>66.563999999999993</v>
      </c>
      <c r="CE20" s="6">
        <f ca="1"/>
        <v>70.38</v>
      </c>
      <c r="CF20" s="6">
        <f ca="1"/>
        <v>71.77</v>
      </c>
      <c r="CG20" s="6">
        <f ca="1"/>
        <v>69.787000000000006</v>
      </c>
      <c r="CH20" s="6">
        <f ca="1"/>
        <v>69.363</v>
      </c>
      <c r="CI20" s="6">
        <f ca="1"/>
        <v>64.631</v>
      </c>
      <c r="CJ20" s="6">
        <f ca="1"/>
        <v>67.015000000000001</v>
      </c>
      <c r="CK20" s="6">
        <f ca="1"/>
        <v>66.177000000000007</v>
      </c>
      <c r="CL20" s="6">
        <f ca="1"/>
        <v>66.757000000000005</v>
      </c>
      <c r="CM20" s="6">
        <f ca="1"/>
        <v>64.195999999999998</v>
      </c>
      <c r="CN20" s="6">
        <f ca="1"/>
        <v>64.968000000000004</v>
      </c>
      <c r="CO20" s="6">
        <f ca="1"/>
        <v>70.533000000000001</v>
      </c>
      <c r="CP20" s="6">
        <f ca="1"/>
        <v>69.369</v>
      </c>
      <c r="CQ20" s="6">
        <f ca="1"/>
        <v>71.257000000000005</v>
      </c>
      <c r="CR20" s="6">
        <f ca="1"/>
        <v>67.197999999999993</v>
      </c>
      <c r="CS20" s="6">
        <f ca="1"/>
        <v>65.516999999999996</v>
      </c>
      <c r="CT20" s="6">
        <f ca="1"/>
        <v>61.204000000000001</v>
      </c>
      <c r="CU20" s="6">
        <f ca="1"/>
        <v>58.405999999999999</v>
      </c>
      <c r="CV20" s="6">
        <f ca="1"/>
        <v>63.59</v>
      </c>
      <c r="CW20" s="6">
        <f ca="1"/>
        <v>64.683999999999997</v>
      </c>
      <c r="CX20" s="6">
        <f ca="1"/>
        <v>66.997</v>
      </c>
      <c r="CY20" s="6">
        <f ca="1"/>
        <v>70.304000000000002</v>
      </c>
      <c r="CZ20" s="6">
        <f ca="1"/>
        <v>72.212999999999994</v>
      </c>
      <c r="DA20" s="6">
        <f ca="1"/>
        <v>69.671000000000006</v>
      </c>
      <c r="DB20" s="6">
        <f ca="1"/>
        <v>71.004999999999995</v>
      </c>
      <c r="DC20" s="6">
        <f ca="1"/>
        <v>73.494</v>
      </c>
      <c r="DD20" s="6">
        <f ca="1"/>
        <v>80.343999999999994</v>
      </c>
      <c r="DE20" s="6">
        <f ca="1"/>
        <v>79.347999999999999</v>
      </c>
      <c r="DF20" s="6">
        <f ca="1"/>
        <v>78.22</v>
      </c>
      <c r="DG20" s="6">
        <f ca="1"/>
        <v>82.031999999999996</v>
      </c>
      <c r="DH20" s="6">
        <f ca="1"/>
        <v>83.837000000000003</v>
      </c>
      <c r="DI20" s="6">
        <f ca="1"/>
        <v>90.221000000000004</v>
      </c>
      <c r="DJ20" s="6">
        <f ca="1"/>
        <v>90.48</v>
      </c>
      <c r="DK20" s="6">
        <f ca="1"/>
        <v>88.201999999999998</v>
      </c>
      <c r="DL20" s="6">
        <f ca="1"/>
        <v>83.834000000000003</v>
      </c>
      <c r="DM20" s="6">
        <f ca="1"/>
        <v>84.346999999999994</v>
      </c>
      <c r="DN20" s="6">
        <f ca="1"/>
        <v>85.597999999999999</v>
      </c>
      <c r="DO20" s="6">
        <f ca="1"/>
        <v>85.908000000000001</v>
      </c>
      <c r="DP20" s="6">
        <f ca="1"/>
        <v>84.65</v>
      </c>
      <c r="DQ20" s="6">
        <f ca="1"/>
        <v>86.876000000000005</v>
      </c>
      <c r="DR20" s="6">
        <f ca="1"/>
        <v>83.965000000000003</v>
      </c>
      <c r="DS20" s="6">
        <f ca="1"/>
        <v>80.656999999999996</v>
      </c>
      <c r="DT20" s="6">
        <f ca="1"/>
        <v>78.244</v>
      </c>
      <c r="DU20" s="6">
        <f ca="1"/>
        <v>81.715999999999994</v>
      </c>
      <c r="DV20" s="6">
        <f ca="1"/>
        <v>80.950999999999993</v>
      </c>
      <c r="DW20" s="6">
        <f ca="1"/>
        <v>84.206000000000003</v>
      </c>
      <c r="DX20" s="6">
        <f ca="1"/>
        <v>81.826999999999998</v>
      </c>
      <c r="DY20" s="6">
        <f ca="1"/>
        <v>84.918000000000006</v>
      </c>
      <c r="DZ20" s="6">
        <f ca="1"/>
        <v>91.733999999999995</v>
      </c>
      <c r="EA20" s="6">
        <f ca="1"/>
        <v>84.691000000000003</v>
      </c>
      <c r="EB20" s="6">
        <f ca="1"/>
        <v>82.146000000000001</v>
      </c>
      <c r="EC20" s="6">
        <f ca="1"/>
        <v>84.736999999999995</v>
      </c>
      <c r="ED20" s="6">
        <f ca="1"/>
        <v>85.051000000000002</v>
      </c>
      <c r="EE20" s="6">
        <f ca="1"/>
        <v>76.998000000000005</v>
      </c>
      <c r="EF20" s="6">
        <f ca="1"/>
        <v>80.075999999999993</v>
      </c>
      <c r="EG20" s="6">
        <f ca="1"/>
        <v>95.025999999999996</v>
      </c>
      <c r="EH20" s="6">
        <f ca="1"/>
        <v>95.992000000000004</v>
      </c>
      <c r="EI20" s="6">
        <f ca="1"/>
        <v>103.7</v>
      </c>
      <c r="EJ20" s="6">
        <f ca="1"/>
        <v>114.248</v>
      </c>
      <c r="EK20" s="6">
        <f ca="1"/>
        <v>108.084</v>
      </c>
      <c r="EL20" s="6">
        <f ca="1"/>
        <v>104.054</v>
      </c>
      <c r="EM20" s="6">
        <f ca="1"/>
        <v>95.783000000000001</v>
      </c>
      <c r="EN20" s="6">
        <f ca="1"/>
        <v>97.88</v>
      </c>
      <c r="EO20" s="6">
        <f ca="1"/>
        <v>94.474999999999994</v>
      </c>
      <c r="EP20" s="6">
        <f ca="1"/>
        <v>84.492999999999995</v>
      </c>
      <c r="EQ20" s="6">
        <f ca="1"/>
        <v>88.83</v>
      </c>
      <c r="ER20" s="6">
        <f ca="1"/>
        <v>97.994</v>
      </c>
      <c r="ES20" s="6">
        <f ca="1"/>
        <v>114.181</v>
      </c>
      <c r="ET20" s="6">
        <f ca="1"/>
        <v>117.407</v>
      </c>
      <c r="EU20" s="6">
        <f ca="1"/>
        <v>117.23399999999999</v>
      </c>
      <c r="EV20" s="6">
        <f ca="1"/>
        <v>138.54900000000001</v>
      </c>
      <c r="EW20" s="6">
        <f ca="1"/>
        <v>117.968</v>
      </c>
      <c r="EX20" s="6">
        <f ca="1"/>
        <v>122.22799999999999</v>
      </c>
      <c r="EY20" s="6">
        <f ca="1"/>
        <v>108.175</v>
      </c>
      <c r="EZ20" s="6">
        <f ca="1"/>
        <v>119.369</v>
      </c>
      <c r="FA20" s="6">
        <f ca="1"/>
        <v>103.821</v>
      </c>
      <c r="FB20" s="6">
        <f ca="1"/>
        <v>99.515000000000001</v>
      </c>
      <c r="FC20" s="6">
        <f ca="1"/>
        <v>105.089</v>
      </c>
      <c r="FD20" s="6">
        <f ca="1"/>
        <v>79.850999999999999</v>
      </c>
      <c r="FE20" s="6">
        <f ca="1"/>
        <v>69.084999999999994</v>
      </c>
      <c r="FF20" s="6">
        <f ca="1"/>
        <v>64.180999999999997</v>
      </c>
      <c r="FG20" s="6">
        <f ca="1"/>
        <v>62.253999999999998</v>
      </c>
      <c r="FH20" s="6">
        <f ca="1"/>
        <v>66.900999999999996</v>
      </c>
      <c r="FI20" s="6">
        <f ca="1"/>
        <v>64.414000000000001</v>
      </c>
      <c r="FJ20" s="6">
        <f ca="1"/>
        <v>56.204999999999998</v>
      </c>
      <c r="FK20" s="6">
        <f ca="1"/>
        <v>51.862000000000002</v>
      </c>
      <c r="FL20" s="6">
        <f ca="1"/>
        <v>50.348999999999997</v>
      </c>
      <c r="FM20" s="6">
        <f ca="1"/>
        <v>48.018999999999998</v>
      </c>
      <c r="FN20" s="6">
        <f ca="1"/>
        <v>43.018999999999998</v>
      </c>
      <c r="FO20" s="6">
        <f ca="1"/>
        <v>42.344999999999999</v>
      </c>
      <c r="FP20" s="6">
        <f ca="1"/>
        <v>41.603999999999999</v>
      </c>
      <c r="FQ20" s="6">
        <f ca="1"/>
        <v>41.896000000000001</v>
      </c>
      <c r="FR20" s="6">
        <f ca="1"/>
        <v>41.277000000000001</v>
      </c>
      <c r="FS20" s="6">
        <f ca="1"/>
        <v>41.57</v>
      </c>
      <c r="FT20" s="6">
        <f ca="1"/>
        <v>41.889000000000003</v>
      </c>
      <c r="FU20" s="6">
        <f ca="1"/>
        <v>41.667000000000002</v>
      </c>
      <c r="FV20" s="6">
        <f ca="1"/>
        <v>42.332999999999998</v>
      </c>
      <c r="FW20" s="6">
        <f ca="1"/>
        <v>42.936</v>
      </c>
      <c r="FX20" s="6">
        <f ca="1"/>
        <v>43.593000000000004</v>
      </c>
      <c r="FY20" s="6">
        <f ca="1"/>
        <v>42.87</v>
      </c>
      <c r="FZ20" s="6">
        <f ca="1"/>
        <v>43.133000000000003</v>
      </c>
      <c r="GA20" s="6">
        <f ca="1"/>
        <v>43.927999999999997</v>
      </c>
      <c r="GB20" s="6">
        <f ca="1"/>
        <v>46.017000000000003</v>
      </c>
      <c r="GC20" s="6">
        <f ca="1"/>
        <v>46.234000000000002</v>
      </c>
      <c r="GD20" s="6">
        <f ca="1"/>
        <v>45.673000000000002</v>
      </c>
      <c r="GE20" s="6">
        <f ca="1"/>
        <v>44.786999999999999</v>
      </c>
      <c r="GF20" s="6">
        <f ca="1"/>
        <v>44.715000000000003</v>
      </c>
      <c r="GG20" s="6">
        <f ca="1"/>
        <v>46.121000000000002</v>
      </c>
      <c r="GH20" s="6">
        <f ca="1"/>
        <v>44.664000000000001</v>
      </c>
      <c r="GI20" s="6">
        <f ca="1"/>
        <v>44.762999999999998</v>
      </c>
      <c r="GJ20" s="6">
        <f ca="1"/>
        <v>43.726999999999997</v>
      </c>
      <c r="GK20" s="6">
        <f ca="1"/>
        <v>43.505000000000003</v>
      </c>
      <c r="GL20" s="6">
        <f ca="1"/>
        <v>42.963999999999999</v>
      </c>
      <c r="GM20" s="6">
        <f ca="1"/>
        <v>42.652999999999999</v>
      </c>
      <c r="GN20" s="6">
        <f ca="1"/>
        <v>43.277999999999999</v>
      </c>
      <c r="GO20" s="6">
        <f ca="1"/>
        <v>43.415999999999997</v>
      </c>
      <c r="GP20" s="6">
        <f ca="1"/>
        <v>43.534999999999997</v>
      </c>
      <c r="GQ20" s="6">
        <f ca="1"/>
        <v>43.201000000000001</v>
      </c>
      <c r="GR20" s="6">
        <f ca="1"/>
        <v>43.170999999999999</v>
      </c>
      <c r="GS20" s="6">
        <f ca="1"/>
        <v>42.981000000000002</v>
      </c>
      <c r="GT20" s="6">
        <f ca="1"/>
        <v>43.494999999999997</v>
      </c>
      <c r="GU20" s="6">
        <f ca="1"/>
        <v>44.633000000000003</v>
      </c>
      <c r="GV20" s="6">
        <f ca="1"/>
        <v>44.911000000000001</v>
      </c>
      <c r="GW20" s="6">
        <f ca="1"/>
        <v>44.725999999999999</v>
      </c>
      <c r="GX20" s="6">
        <f ca="1"/>
        <v>43.685000000000002</v>
      </c>
      <c r="GY20" s="6">
        <f ca="1"/>
        <v>44.249000000000002</v>
      </c>
      <c r="GZ20" s="6">
        <f ca="1"/>
        <v>43.698999999999998</v>
      </c>
      <c r="HA20" s="6">
        <f ca="1"/>
        <v>43.435000000000002</v>
      </c>
      <c r="HB20" s="6">
        <f ca="1"/>
        <v>44.12</v>
      </c>
      <c r="HC20" s="6">
        <f ca="1"/>
        <v>44.268999999999998</v>
      </c>
      <c r="HD20" s="6">
        <f ca="1"/>
        <v>43.390999999999998</v>
      </c>
      <c r="HE20" s="6">
        <f ca="1"/>
        <v>44.735999999999997</v>
      </c>
      <c r="HF20" s="6">
        <f ca="1"/>
        <v>44.95</v>
      </c>
      <c r="HG20" s="6">
        <f ca="1"/>
        <v>45.124000000000002</v>
      </c>
      <c r="HH20" s="6">
        <f ca="1"/>
        <v>45.026000000000003</v>
      </c>
      <c r="HI20" s="6">
        <f ca="1"/>
        <v>46.249000000000002</v>
      </c>
      <c r="HJ20" s="6">
        <f ca="1"/>
        <v>47.249000000000002</v>
      </c>
      <c r="HK20" s="6">
        <f ca="1"/>
        <v>47.392000000000003</v>
      </c>
      <c r="HL20" s="6">
        <f ca="1"/>
        <v>47.286000000000001</v>
      </c>
      <c r="HM20" s="6">
        <f ca="1"/>
        <v>47.502000000000002</v>
      </c>
      <c r="HN20" s="6">
        <f ca="1"/>
        <v>46.999000000000002</v>
      </c>
      <c r="HO20" s="6">
        <f ca="1"/>
        <v>47.953000000000003</v>
      </c>
      <c r="HP20" s="6">
        <f ca="1"/>
        <v>48.045000000000002</v>
      </c>
      <c r="HQ20" s="6">
        <f ca="1"/>
        <v>50.03</v>
      </c>
      <c r="HR20" s="6">
        <f ca="1"/>
        <v>48.953000000000003</v>
      </c>
      <c r="HS20" s="6">
        <f ca="1"/>
        <v>47.747999999999998</v>
      </c>
      <c r="HT20" s="6">
        <f ca="1"/>
        <v>47.944000000000003</v>
      </c>
      <c r="HU20" s="6">
        <f ca="1"/>
        <v>47.686999999999998</v>
      </c>
      <c r="HV20" s="6">
        <f ca="1"/>
        <v>47.805</v>
      </c>
      <c r="HW20" s="6">
        <f ca="1"/>
        <v>48.152999999999999</v>
      </c>
      <c r="HX20" s="6">
        <f ca="1"/>
        <v>49.734999999999999</v>
      </c>
      <c r="HY20" s="6">
        <f ca="1"/>
        <v>49.789000000000001</v>
      </c>
      <c r="HZ20" s="6">
        <f ca="1"/>
        <v>49.988</v>
      </c>
      <c r="IA20" s="6">
        <f ca="1"/>
        <v>49.332999999999998</v>
      </c>
      <c r="IB20" s="6">
        <f ca="1"/>
        <v>48.546999999999997</v>
      </c>
      <c r="IC20" s="6">
        <f ca="1"/>
        <v>48.860999999999997</v>
      </c>
      <c r="ID20" s="6">
        <f ca="1"/>
        <v>50.109000000000002</v>
      </c>
      <c r="IE20" s="6">
        <f ca="1"/>
        <v>49.402999999999999</v>
      </c>
      <c r="IF20" s="6">
        <f ca="1"/>
        <v>48.262</v>
      </c>
      <c r="IG20" s="6">
        <f ca="1"/>
        <v>48.56</v>
      </c>
      <c r="IH20" s="6">
        <f ca="1"/>
        <v>48.811</v>
      </c>
      <c r="II20" s="6">
        <f ca="1"/>
        <v>48.749000000000002</v>
      </c>
      <c r="IJ20" s="6">
        <f ca="1"/>
        <v>49.531999999999996</v>
      </c>
      <c r="IK20" s="6">
        <f ca="1"/>
        <v>48.561999999999998</v>
      </c>
      <c r="IL20" s="6">
        <f ca="1"/>
        <v>48.654000000000003</v>
      </c>
      <c r="IM20" s="6">
        <f ca="1"/>
        <v>50.335999999999999</v>
      </c>
      <c r="IN20" s="6">
        <f ca="1"/>
        <v>51.929000000000002</v>
      </c>
      <c r="IO20" s="6">
        <f ca="1"/>
        <v>51.415999999999997</v>
      </c>
      <c r="IP20" s="6">
        <f ca="1"/>
        <v>50.98</v>
      </c>
      <c r="IQ20" s="6">
        <f ca="1"/>
        <v>50.023000000000003</v>
      </c>
      <c r="IR20" s="6">
        <f ca="1"/>
        <v>50.414999999999999</v>
      </c>
      <c r="IS20" s="6">
        <f ca="1"/>
        <v>51.210999999999999</v>
      </c>
      <c r="IT20" s="6">
        <f ca="1"/>
        <v>51.011000000000003</v>
      </c>
      <c r="IU20" s="6">
        <f ca="1"/>
        <v>50.514000000000003</v>
      </c>
      <c r="IV20" s="6">
        <f ca="1"/>
        <v>50.761000000000003</v>
      </c>
      <c r="IW20" s="6" t="str">
        <f ca="1"/>
        <v>-</v>
      </c>
      <c r="IX20" s="6" t="str">
        <f ca="1"/>
        <v>-</v>
      </c>
      <c r="IY20" s="6" t="str">
        <f ca="1"/>
        <v>-</v>
      </c>
      <c r="IZ20" s="6" t="str">
        <f ca="1"/>
        <v>-</v>
      </c>
    </row>
    <row r="25" spans="2:260" ht="21.5" x14ac:dyDescent="0.55000000000000004">
      <c r="D25" s="8" t="s">
        <v>48</v>
      </c>
    </row>
    <row r="26" spans="2:260" x14ac:dyDescent="0.25">
      <c r="B26" t="s">
        <v>49</v>
      </c>
      <c r="C26" t="s">
        <v>50</v>
      </c>
    </row>
    <row r="27" spans="2:260" x14ac:dyDescent="0.25">
      <c r="B27" t="str">
        <f>B8</f>
        <v>XS2193661324</v>
      </c>
      <c r="C27" t="str">
        <f>B9</f>
        <v>XS1799939027</v>
      </c>
      <c r="D27" s="6" cm="1">
        <f t="array" aca="1" ref="D27:IZ27" ca="1">dl_spread_between_two_bonds(B27,C27,isin_list,historic_data)</f>
        <v>-106.89699999999999</v>
      </c>
      <c r="E27" s="6">
        <f ca="1"/>
        <v>-105.72800000000001</v>
      </c>
      <c r="F27" s="6">
        <f ca="1"/>
        <v>-108.702</v>
      </c>
      <c r="G27" s="6">
        <f ca="1"/>
        <v>-100.24099999999999</v>
      </c>
      <c r="H27" s="6">
        <f ca="1"/>
        <v>-96.644999999999982</v>
      </c>
      <c r="I27" s="6">
        <f ca="1"/>
        <v>-93.233000000000004</v>
      </c>
      <c r="J27" s="6">
        <f ca="1"/>
        <v>-91.105999999999995</v>
      </c>
      <c r="K27" s="6">
        <f ca="1"/>
        <v>-88.737000000000023</v>
      </c>
      <c r="L27" s="6">
        <f ca="1"/>
        <v>-87.894999999999982</v>
      </c>
      <c r="M27" s="6">
        <f ca="1"/>
        <v>-90.355999999999995</v>
      </c>
      <c r="N27" s="6">
        <f ca="1"/>
        <v>-89.968999999999994</v>
      </c>
      <c r="O27" s="6">
        <f ca="1"/>
        <v>-91.546999999999969</v>
      </c>
      <c r="P27" s="6">
        <f ca="1"/>
        <v>-98.215000000000032</v>
      </c>
      <c r="Q27" s="6">
        <f ca="1"/>
        <v>-103.75999999999999</v>
      </c>
      <c r="R27" s="6">
        <f ca="1"/>
        <v>-106.25099999999998</v>
      </c>
      <c r="S27" s="6">
        <f ca="1"/>
        <v>-106.548</v>
      </c>
      <c r="T27" s="6">
        <f ca="1"/>
        <v>-106.66300000000001</v>
      </c>
      <c r="U27" s="6">
        <f ca="1"/>
        <v>-103.548</v>
      </c>
      <c r="V27" s="6">
        <f ca="1"/>
        <v>-108.05899999999997</v>
      </c>
      <c r="W27" s="6">
        <f ca="1"/>
        <v>-105.678</v>
      </c>
      <c r="X27" s="6">
        <f ca="1"/>
        <v>-89.622000000000014</v>
      </c>
      <c r="Y27" s="6">
        <f ca="1"/>
        <v>-100.23200000000003</v>
      </c>
      <c r="Z27" s="6">
        <f ca="1"/>
        <v>-100.524</v>
      </c>
      <c r="AA27" s="6">
        <f ca="1"/>
        <v>-96.27800000000002</v>
      </c>
      <c r="AB27" s="6">
        <f ca="1"/>
        <v>-90.449000000000012</v>
      </c>
      <c r="AC27" s="6">
        <f ca="1"/>
        <v>-87.963999999999999</v>
      </c>
      <c r="AD27" s="6">
        <f ca="1"/>
        <v>-92.185999999999979</v>
      </c>
      <c r="AE27" s="6">
        <f ca="1"/>
        <v>-94.360000000000014</v>
      </c>
      <c r="AF27" s="6">
        <f ca="1"/>
        <v>-97.826000000000022</v>
      </c>
      <c r="AG27" s="6">
        <f ca="1"/>
        <v>-104.84699999999998</v>
      </c>
      <c r="AH27" s="6">
        <f ca="1"/>
        <v>-107.339</v>
      </c>
      <c r="AI27" s="6">
        <f ca="1"/>
        <v>-108.78500000000003</v>
      </c>
      <c r="AJ27" s="6">
        <f ca="1"/>
        <v>-106.11399999999998</v>
      </c>
      <c r="AK27" s="6">
        <f ca="1"/>
        <v>-100.91999999999996</v>
      </c>
      <c r="AL27" s="6">
        <f ca="1"/>
        <v>-103.221</v>
      </c>
      <c r="AM27" s="6">
        <f ca="1"/>
        <v>-104.86899999999997</v>
      </c>
      <c r="AN27" s="6">
        <f ca="1"/>
        <v>-102.12299999999999</v>
      </c>
      <c r="AO27" s="6">
        <f ca="1"/>
        <v>-104.34799999999996</v>
      </c>
      <c r="AP27" s="6">
        <f ca="1"/>
        <v>-102.56400000000002</v>
      </c>
      <c r="AQ27" s="6">
        <f ca="1"/>
        <v>-98.386000000000024</v>
      </c>
      <c r="AR27" s="6">
        <f ca="1"/>
        <v>-101.68399999999997</v>
      </c>
      <c r="AS27" s="6">
        <f ca="1"/>
        <v>-109.363</v>
      </c>
      <c r="AT27" s="6">
        <f ca="1"/>
        <v>-113.834</v>
      </c>
      <c r="AU27" s="6">
        <f ca="1"/>
        <v>-117.86099999999999</v>
      </c>
      <c r="AV27" s="6">
        <f ca="1"/>
        <v>-118.26700000000005</v>
      </c>
      <c r="AW27" s="6">
        <f ca="1"/>
        <v>-118.53700000000003</v>
      </c>
      <c r="AX27" s="6">
        <f ca="1"/>
        <v>-111.69</v>
      </c>
      <c r="AY27" s="6">
        <f ca="1"/>
        <v>-112.00599999999997</v>
      </c>
      <c r="AZ27" s="6">
        <f ca="1"/>
        <v>-110.49700000000001</v>
      </c>
      <c r="BA27" s="6">
        <f ca="1"/>
        <v>-108.47600000000006</v>
      </c>
      <c r="BB27" s="6">
        <f ca="1"/>
        <v>-113.37799999999999</v>
      </c>
      <c r="BC27" s="6">
        <f ca="1"/>
        <v>-116.93</v>
      </c>
      <c r="BD27" s="6">
        <f ca="1"/>
        <v>-122.69599999999997</v>
      </c>
      <c r="BE27" s="6">
        <f ca="1"/>
        <v>-126.60500000000002</v>
      </c>
      <c r="BF27" s="6">
        <f ca="1"/>
        <v>-113.70500000000004</v>
      </c>
      <c r="BG27" s="6">
        <f ca="1"/>
        <v>-105.63599999999997</v>
      </c>
      <c r="BH27" s="6">
        <f ca="1"/>
        <v>-101.351</v>
      </c>
      <c r="BI27" s="6">
        <f ca="1"/>
        <v>-106.45699999999999</v>
      </c>
      <c r="BJ27" s="6">
        <f ca="1"/>
        <v>-104.827</v>
      </c>
      <c r="BK27" s="6">
        <f ca="1"/>
        <v>-101.74700000000001</v>
      </c>
      <c r="BL27" s="6">
        <f ca="1"/>
        <v>-103.72500000000002</v>
      </c>
      <c r="BM27" s="6">
        <f ca="1"/>
        <v>-99.757999999999981</v>
      </c>
      <c r="BN27" s="6">
        <f ca="1"/>
        <v>-97.265999999999963</v>
      </c>
      <c r="BO27" s="6">
        <f ca="1"/>
        <v>-93.997000000000014</v>
      </c>
      <c r="BP27" s="6">
        <f ca="1"/>
        <v>-96.430999999999983</v>
      </c>
      <c r="BQ27" s="6">
        <f ca="1"/>
        <v>-98.740999999999985</v>
      </c>
      <c r="BR27" s="6">
        <f ca="1"/>
        <v>-97.165999999999997</v>
      </c>
      <c r="BS27" s="6">
        <f ca="1"/>
        <v>-98.948999999999955</v>
      </c>
      <c r="BT27" s="6">
        <f ca="1"/>
        <v>-96.455000000000041</v>
      </c>
      <c r="BU27" s="6">
        <f ca="1"/>
        <v>-91.317000000000007</v>
      </c>
      <c r="BV27" s="6">
        <f ca="1"/>
        <v>-90.40500000000003</v>
      </c>
      <c r="BW27" s="6">
        <f ca="1"/>
        <v>-89.642999999999972</v>
      </c>
      <c r="BX27" s="6">
        <f ca="1"/>
        <v>-91.23399999999998</v>
      </c>
      <c r="BY27" s="6">
        <f ca="1"/>
        <v>-91.133000000000038</v>
      </c>
      <c r="BZ27" s="6">
        <f ca="1"/>
        <v>-95.885999999999967</v>
      </c>
      <c r="CA27" s="6">
        <f ca="1"/>
        <v>-97.614000000000033</v>
      </c>
      <c r="CB27" s="6">
        <f ca="1"/>
        <v>-96.180999999999983</v>
      </c>
      <c r="CC27" s="6">
        <f ca="1"/>
        <v>-98.031000000000006</v>
      </c>
      <c r="CD27" s="6">
        <f ca="1"/>
        <v>-91.100000000000023</v>
      </c>
      <c r="CE27" s="6">
        <f ca="1"/>
        <v>-79.714999999999975</v>
      </c>
      <c r="CF27" s="6">
        <f ca="1"/>
        <v>-76.88900000000001</v>
      </c>
      <c r="CG27" s="6">
        <f ca="1"/>
        <v>-70.476999999999975</v>
      </c>
      <c r="CH27" s="6">
        <f ca="1"/>
        <v>-67.049000000000035</v>
      </c>
      <c r="CI27" s="6">
        <f ca="1"/>
        <v>-64.761000000000024</v>
      </c>
      <c r="CJ27" s="6">
        <f ca="1"/>
        <v>-64.87299999999999</v>
      </c>
      <c r="CK27" s="6">
        <f ca="1"/>
        <v>-66.524000000000001</v>
      </c>
      <c r="CL27" s="6" t="str">
        <f ca="1"/>
        <v>-</v>
      </c>
      <c r="CM27" s="6" t="str">
        <f ca="1"/>
        <v>-</v>
      </c>
      <c r="CN27" s="6" t="str">
        <f ca="1"/>
        <v>-</v>
      </c>
      <c r="CO27" s="6" t="str">
        <f ca="1"/>
        <v>-</v>
      </c>
      <c r="CP27" s="6" t="str">
        <f ca="1"/>
        <v>-</v>
      </c>
      <c r="CQ27" s="6" t="str">
        <f ca="1"/>
        <v>-</v>
      </c>
      <c r="CR27" s="6" t="str">
        <f ca="1"/>
        <v>-</v>
      </c>
      <c r="CS27" s="6" t="str">
        <f ca="1"/>
        <v>-</v>
      </c>
      <c r="CT27" s="6" t="str">
        <f ca="1"/>
        <v>-</v>
      </c>
      <c r="CU27" s="6" t="str">
        <f ca="1"/>
        <v>-</v>
      </c>
      <c r="CV27" s="6" t="str">
        <f ca="1"/>
        <v>-</v>
      </c>
      <c r="CW27" s="6" t="str">
        <f ca="1"/>
        <v>-</v>
      </c>
      <c r="CX27" s="6" t="str">
        <f ca="1"/>
        <v>-</v>
      </c>
      <c r="CY27" s="6" t="str">
        <f ca="1"/>
        <v>-</v>
      </c>
      <c r="CZ27" s="6" t="str">
        <f ca="1"/>
        <v>-</v>
      </c>
      <c r="DA27" s="6" t="str">
        <f ca="1"/>
        <v>-</v>
      </c>
      <c r="DB27" s="6" t="str">
        <f ca="1"/>
        <v>-</v>
      </c>
      <c r="DC27" s="6" t="str">
        <f ca="1"/>
        <v>-</v>
      </c>
      <c r="DD27" s="6" t="str">
        <f ca="1"/>
        <v>-</v>
      </c>
      <c r="DE27" s="6" t="str">
        <f ca="1"/>
        <v>-</v>
      </c>
      <c r="DF27" s="6" t="str">
        <f ca="1"/>
        <v>-</v>
      </c>
      <c r="DG27" s="6" t="str">
        <f ca="1"/>
        <v>-</v>
      </c>
      <c r="DH27" s="6" t="str">
        <f ca="1"/>
        <v>-</v>
      </c>
      <c r="DI27" s="6" t="str">
        <f ca="1"/>
        <v>-</v>
      </c>
      <c r="DJ27" s="6" t="str">
        <f ca="1"/>
        <v>-</v>
      </c>
      <c r="DK27" s="6" t="str">
        <f ca="1"/>
        <v>-</v>
      </c>
      <c r="DL27" s="6" t="str">
        <f ca="1"/>
        <v>-</v>
      </c>
      <c r="DM27" s="6" t="str">
        <f ca="1"/>
        <v>-</v>
      </c>
      <c r="DN27" s="6" t="str">
        <f ca="1"/>
        <v>-</v>
      </c>
      <c r="DO27" s="6" t="str">
        <f ca="1"/>
        <v>-</v>
      </c>
      <c r="DP27" s="6" t="str">
        <f ca="1"/>
        <v>-</v>
      </c>
      <c r="DQ27" s="6" t="str">
        <f ca="1"/>
        <v>-</v>
      </c>
      <c r="DR27" s="6" t="str">
        <f ca="1"/>
        <v>-</v>
      </c>
      <c r="DS27" s="6" t="str">
        <f ca="1"/>
        <v>-</v>
      </c>
      <c r="DT27" s="6" t="str">
        <f ca="1"/>
        <v>-</v>
      </c>
      <c r="DU27" s="6" t="str">
        <f ca="1"/>
        <v>-</v>
      </c>
      <c r="DV27" s="6" t="str">
        <f ca="1"/>
        <v>-</v>
      </c>
      <c r="DW27" s="6" t="str">
        <f ca="1"/>
        <v>-</v>
      </c>
      <c r="DX27" s="6" t="str">
        <f ca="1"/>
        <v>-</v>
      </c>
      <c r="DY27" s="6" t="str">
        <f ca="1"/>
        <v>-</v>
      </c>
      <c r="DZ27" s="6" t="str">
        <f ca="1"/>
        <v>-</v>
      </c>
      <c r="EA27" s="6" t="str">
        <f ca="1"/>
        <v>-</v>
      </c>
      <c r="EB27" s="6" t="str">
        <f ca="1"/>
        <v>-</v>
      </c>
      <c r="EC27" s="6" t="str">
        <f ca="1"/>
        <v>-</v>
      </c>
      <c r="ED27" s="6" t="str">
        <f ca="1"/>
        <v>-</v>
      </c>
      <c r="EE27" s="6" t="str">
        <f ca="1"/>
        <v>-</v>
      </c>
      <c r="EF27" s="6" t="str">
        <f ca="1"/>
        <v>-</v>
      </c>
      <c r="EG27" s="6" t="str">
        <f ca="1"/>
        <v>-</v>
      </c>
      <c r="EH27" s="6" t="str">
        <f ca="1"/>
        <v>-</v>
      </c>
      <c r="EI27" s="6" t="str">
        <f ca="1"/>
        <v>-</v>
      </c>
      <c r="EJ27" s="6" t="str">
        <f ca="1"/>
        <v>-</v>
      </c>
      <c r="EK27" s="6" t="str">
        <f ca="1"/>
        <v>-</v>
      </c>
      <c r="EL27" s="6" t="str">
        <f ca="1"/>
        <v>-</v>
      </c>
      <c r="EM27" s="6" t="str">
        <f ca="1"/>
        <v>-</v>
      </c>
      <c r="EN27" s="6" t="str">
        <f ca="1"/>
        <v>-</v>
      </c>
      <c r="EO27" s="6" t="str">
        <f ca="1"/>
        <v>-</v>
      </c>
      <c r="EP27" s="6" t="str">
        <f ca="1"/>
        <v>-</v>
      </c>
      <c r="EQ27" s="6" t="str">
        <f ca="1"/>
        <v>-</v>
      </c>
      <c r="ER27" s="6" t="str">
        <f ca="1"/>
        <v>-</v>
      </c>
      <c r="ES27" s="6" t="str">
        <f ca="1"/>
        <v>-</v>
      </c>
      <c r="ET27" s="6" t="str">
        <f ca="1"/>
        <v>-</v>
      </c>
      <c r="EU27" s="6" t="str">
        <f ca="1"/>
        <v>-</v>
      </c>
      <c r="EV27" s="6" t="str">
        <f ca="1"/>
        <v>-</v>
      </c>
      <c r="EW27" s="6" t="str">
        <f ca="1"/>
        <v>-</v>
      </c>
      <c r="EX27" s="6" t="str">
        <f ca="1"/>
        <v>-</v>
      </c>
      <c r="EY27" s="6" t="str">
        <f ca="1"/>
        <v>-</v>
      </c>
      <c r="EZ27" s="6" t="str">
        <f ca="1"/>
        <v>-</v>
      </c>
      <c r="FA27" s="6" t="str">
        <f ca="1"/>
        <v>-</v>
      </c>
      <c r="FB27" s="6" t="str">
        <f ca="1"/>
        <v>-</v>
      </c>
      <c r="FC27" s="6" t="str">
        <f ca="1"/>
        <v>-</v>
      </c>
      <c r="FD27" s="6" t="str">
        <f ca="1"/>
        <v>-</v>
      </c>
      <c r="FE27" s="6" t="str">
        <f ca="1"/>
        <v>-</v>
      </c>
      <c r="FF27" s="6" t="str">
        <f ca="1"/>
        <v>-</v>
      </c>
      <c r="FG27" s="6" t="str">
        <f ca="1"/>
        <v>-</v>
      </c>
      <c r="FH27" s="6" t="str">
        <f ca="1"/>
        <v>-</v>
      </c>
      <c r="FI27" s="6" t="str">
        <f ca="1"/>
        <v>-</v>
      </c>
      <c r="FJ27" s="6" t="str">
        <f ca="1"/>
        <v>-</v>
      </c>
      <c r="FK27" s="6" t="str">
        <f ca="1"/>
        <v>-</v>
      </c>
      <c r="FL27" s="6" t="str">
        <f ca="1"/>
        <v>-</v>
      </c>
      <c r="FM27" s="6" t="str">
        <f ca="1"/>
        <v>-</v>
      </c>
      <c r="FN27" s="6" t="str">
        <f ca="1"/>
        <v>-</v>
      </c>
      <c r="FO27" s="6" t="str">
        <f ca="1"/>
        <v>-</v>
      </c>
      <c r="FP27" s="6" t="str">
        <f ca="1"/>
        <v>-</v>
      </c>
      <c r="FQ27" s="6" t="str">
        <f ca="1"/>
        <v>-</v>
      </c>
      <c r="FR27" s="6" t="str">
        <f ca="1"/>
        <v>-</v>
      </c>
      <c r="FS27" s="6" t="str">
        <f ca="1"/>
        <v>-</v>
      </c>
      <c r="FT27" s="6" t="str">
        <f ca="1"/>
        <v>-</v>
      </c>
      <c r="FU27" s="6" t="str">
        <f ca="1"/>
        <v>-</v>
      </c>
      <c r="FV27" s="6" t="str">
        <f ca="1"/>
        <v>-</v>
      </c>
      <c r="FW27" s="6" t="str">
        <f ca="1"/>
        <v>-</v>
      </c>
      <c r="FX27" s="6" t="str">
        <f ca="1"/>
        <v>-</v>
      </c>
      <c r="FY27" s="6" t="str">
        <f ca="1"/>
        <v>-</v>
      </c>
      <c r="FZ27" s="6" t="str">
        <f ca="1"/>
        <v>-</v>
      </c>
      <c r="GA27" s="6" t="str">
        <f ca="1"/>
        <v>-</v>
      </c>
      <c r="GB27" s="6" t="str">
        <f ca="1"/>
        <v>-</v>
      </c>
      <c r="GC27" s="6" t="str">
        <f ca="1"/>
        <v>-</v>
      </c>
      <c r="GD27" s="6" t="str">
        <f ca="1"/>
        <v>-</v>
      </c>
      <c r="GE27" s="6" t="str">
        <f ca="1"/>
        <v>-</v>
      </c>
      <c r="GF27" s="6" t="str">
        <f ca="1"/>
        <v>-</v>
      </c>
      <c r="GG27" s="6" t="str">
        <f ca="1"/>
        <v>-</v>
      </c>
      <c r="GH27" s="6" t="str">
        <f ca="1"/>
        <v>-</v>
      </c>
      <c r="GI27" s="6" t="str">
        <f ca="1"/>
        <v>-</v>
      </c>
      <c r="GJ27" s="6" t="str">
        <f ca="1"/>
        <v>-</v>
      </c>
      <c r="GK27" s="6" t="str">
        <f ca="1"/>
        <v>-</v>
      </c>
      <c r="GL27" s="6" t="str">
        <f ca="1"/>
        <v>-</v>
      </c>
      <c r="GM27" s="6" t="str">
        <f ca="1"/>
        <v>-</v>
      </c>
      <c r="GN27" s="6" t="str">
        <f ca="1"/>
        <v>-</v>
      </c>
      <c r="GO27" s="6" t="str">
        <f ca="1"/>
        <v>-</v>
      </c>
      <c r="GP27" s="6" t="str">
        <f ca="1"/>
        <v>-</v>
      </c>
      <c r="GQ27" s="6" t="str">
        <f ca="1"/>
        <v>-</v>
      </c>
      <c r="GR27" s="6" t="str">
        <f ca="1"/>
        <v>-</v>
      </c>
      <c r="GS27" s="6" t="str">
        <f ca="1"/>
        <v>-</v>
      </c>
      <c r="GT27" s="6" t="str">
        <f ca="1"/>
        <v>-</v>
      </c>
      <c r="GU27" s="6" t="str">
        <f ca="1"/>
        <v>-</v>
      </c>
      <c r="GV27" s="6" t="str">
        <f ca="1"/>
        <v>-</v>
      </c>
      <c r="GW27" s="6" t="str">
        <f ca="1"/>
        <v>-</v>
      </c>
      <c r="GX27" s="6" t="str">
        <f ca="1"/>
        <v>-</v>
      </c>
      <c r="GY27" s="6" t="str">
        <f ca="1"/>
        <v>-</v>
      </c>
      <c r="GZ27" s="6" t="str">
        <f ca="1"/>
        <v>-</v>
      </c>
      <c r="HA27" s="6" t="str">
        <f ca="1"/>
        <v>-</v>
      </c>
      <c r="HB27" s="6" t="str">
        <f ca="1"/>
        <v>-</v>
      </c>
      <c r="HC27" s="6" t="str">
        <f ca="1"/>
        <v>-</v>
      </c>
      <c r="HD27" s="6" t="str">
        <f ca="1"/>
        <v>-</v>
      </c>
      <c r="HE27" s="6" t="str">
        <f ca="1"/>
        <v>-</v>
      </c>
      <c r="HF27" s="6" t="str">
        <f ca="1"/>
        <v>-</v>
      </c>
      <c r="HG27" s="6" t="str">
        <f ca="1"/>
        <v>-</v>
      </c>
      <c r="HH27" s="6" t="str">
        <f ca="1"/>
        <v>-</v>
      </c>
      <c r="HI27" s="6" t="str">
        <f ca="1"/>
        <v>-</v>
      </c>
      <c r="HJ27" s="6" t="str">
        <f ca="1"/>
        <v>-</v>
      </c>
      <c r="HK27" s="6" t="str">
        <f ca="1"/>
        <v>-</v>
      </c>
      <c r="HL27" s="6" t="str">
        <f ca="1"/>
        <v>-</v>
      </c>
      <c r="HM27" s="6" t="str">
        <f ca="1"/>
        <v>-</v>
      </c>
      <c r="HN27" s="6" t="str">
        <f ca="1"/>
        <v>-</v>
      </c>
      <c r="HO27" s="6" t="str">
        <f ca="1"/>
        <v>-</v>
      </c>
      <c r="HP27" s="6" t="str">
        <f ca="1"/>
        <v>-</v>
      </c>
      <c r="HQ27" s="6" t="str">
        <f ca="1"/>
        <v>-</v>
      </c>
      <c r="HR27" s="6" t="str">
        <f ca="1"/>
        <v>-</v>
      </c>
      <c r="HS27" s="6" t="str">
        <f ca="1"/>
        <v>-</v>
      </c>
      <c r="HT27" s="6" t="str">
        <f ca="1"/>
        <v>-</v>
      </c>
      <c r="HU27" s="6" t="str">
        <f ca="1"/>
        <v>-</v>
      </c>
      <c r="HV27" s="6" t="str">
        <f ca="1"/>
        <v>-</v>
      </c>
      <c r="HW27" s="6" t="str">
        <f ca="1"/>
        <v>-</v>
      </c>
      <c r="HX27" s="6" t="str">
        <f ca="1"/>
        <v>-</v>
      </c>
      <c r="HY27" s="6" t="str">
        <f ca="1"/>
        <v>-</v>
      </c>
      <c r="HZ27" s="6" t="str">
        <f ca="1"/>
        <v>-</v>
      </c>
      <c r="IA27" s="6" t="str">
        <f ca="1"/>
        <v>-</v>
      </c>
      <c r="IB27" s="6" t="str">
        <f ca="1"/>
        <v>-</v>
      </c>
      <c r="IC27" s="6" t="str">
        <f ca="1"/>
        <v>-</v>
      </c>
      <c r="ID27" s="6" t="str">
        <f ca="1"/>
        <v>-</v>
      </c>
      <c r="IE27" s="6" t="str">
        <f ca="1"/>
        <v>-</v>
      </c>
      <c r="IF27" s="6" t="str">
        <f ca="1"/>
        <v>-</v>
      </c>
      <c r="IG27" s="6" t="str">
        <f ca="1"/>
        <v>-</v>
      </c>
      <c r="IH27" s="6" t="str">
        <f ca="1"/>
        <v>-</v>
      </c>
      <c r="II27" s="6" t="str">
        <f ca="1"/>
        <v>-</v>
      </c>
      <c r="IJ27" s="6" t="str">
        <f ca="1"/>
        <v>-</v>
      </c>
      <c r="IK27" s="6" t="str">
        <f ca="1"/>
        <v>-</v>
      </c>
      <c r="IL27" s="6" t="str">
        <f ca="1"/>
        <v>-</v>
      </c>
      <c r="IM27" s="6" t="str">
        <f ca="1"/>
        <v>-</v>
      </c>
      <c r="IN27" s="6" t="str">
        <f ca="1"/>
        <v>-</v>
      </c>
      <c r="IO27" s="6" t="str">
        <f ca="1"/>
        <v>-</v>
      </c>
      <c r="IP27" s="6" t="str">
        <f ca="1"/>
        <v>-</v>
      </c>
      <c r="IQ27" s="6" t="str">
        <f ca="1"/>
        <v>-</v>
      </c>
      <c r="IR27" s="6" t="str">
        <f ca="1"/>
        <v>-</v>
      </c>
      <c r="IS27" s="6" t="str">
        <f ca="1"/>
        <v>-</v>
      </c>
      <c r="IT27" s="6" t="str">
        <f ca="1"/>
        <v>-</v>
      </c>
      <c r="IU27" s="6" t="str">
        <f ca="1"/>
        <v>-</v>
      </c>
      <c r="IV27" s="6" t="str">
        <f ca="1"/>
        <v>-</v>
      </c>
      <c r="IW27" s="6" t="str">
        <f ca="1"/>
        <v>-</v>
      </c>
      <c r="IX27" s="6" t="str">
        <f ca="1"/>
        <v>-</v>
      </c>
      <c r="IY27" s="6" t="str">
        <f ca="1"/>
        <v>-</v>
      </c>
      <c r="IZ27" s="6" t="str">
        <f ca="1"/>
        <v>-</v>
      </c>
    </row>
    <row r="30" spans="2:260" ht="21.5" x14ac:dyDescent="0.55000000000000004">
      <c r="D30" s="8" t="s">
        <v>55</v>
      </c>
    </row>
    <row r="31" spans="2:260" x14ac:dyDescent="0.25">
      <c r="C31" t="s">
        <v>51</v>
      </c>
      <c r="D31" s="6">
        <f ca="1">MIN(dl_spread_between_two_bonds(B27,C27,isin_list,historic_data))</f>
        <v>-126.60500000000002</v>
      </c>
    </row>
    <row r="32" spans="2:260" x14ac:dyDescent="0.25">
      <c r="C32" t="s">
        <v>52</v>
      </c>
      <c r="D32" s="6">
        <f ca="1">MAX(dl_spread_between_two_bonds(B27,C27,isin_list,historic_data))</f>
        <v>-64.761000000000024</v>
      </c>
    </row>
    <row r="33" spans="3:4" x14ac:dyDescent="0.25">
      <c r="C33" t="s">
        <v>53</v>
      </c>
      <c r="D33" s="6">
        <f ca="1">AVERAGE(dl_spread_between_two_bonds(B27,C27,isin_list,historic_data))</f>
        <v>-99.111651162790707</v>
      </c>
    </row>
    <row r="34" spans="3:4" x14ac:dyDescent="0.25">
      <c r="C34" t="s">
        <v>54</v>
      </c>
      <c r="D34" s="6">
        <f ca="1">_xlfn.STDEV.P(dl_spread_between_two_bonds(B27,C27,isin_list,historic_data))</f>
        <v>12.101144215328112</v>
      </c>
    </row>
    <row r="36" spans="3:4" x14ac:dyDescent="0.25">
      <c r="C36" t="s">
        <v>61</v>
      </c>
      <c r="D36" s="6">
        <f ca="1">INDEX(dl_spread_between_two_bonds(B27,C27,isin_list,historic_data),1,1)</f>
        <v>-106.89699999999999</v>
      </c>
    </row>
    <row r="37" spans="3:4" x14ac:dyDescent="0.25">
      <c r="C37" t="s">
        <v>59</v>
      </c>
      <c r="D37" s="6">
        <f ca="1">(D36-D31)/(D32-D31)*100</f>
        <v>31.867278959963823</v>
      </c>
    </row>
    <row r="38" spans="3:4" x14ac:dyDescent="0.25">
      <c r="C38" t="s">
        <v>60</v>
      </c>
      <c r="D38" s="5">
        <f ca="1">(D36-D33)/D34</f>
        <v>-0.64335642139921323</v>
      </c>
    </row>
    <row r="40" spans="3:4" x14ac:dyDescent="0.25">
      <c r="C40" t="s">
        <v>62</v>
      </c>
      <c r="D40" s="6">
        <f ca="1">INDEX(dl_spread_between_two_bonds(B27,C27,isin_list,historic_data),1,2)</f>
        <v>-105.72800000000001</v>
      </c>
    </row>
    <row r="41" spans="3:4" x14ac:dyDescent="0.25">
      <c r="C41" t="s">
        <v>56</v>
      </c>
      <c r="D41" s="6">
        <f ca="1">INDEX(dl_spread_between_two_bonds(B27,C27,isin_list,historic_data),1,10)</f>
        <v>-90.355999999999995</v>
      </c>
    </row>
    <row r="43" spans="3:4" x14ac:dyDescent="0.25">
      <c r="C43" t="s">
        <v>64</v>
      </c>
      <c r="D43" cm="1">
        <f t="array" aca="1" ref="D43" ca="1">SUM(IF(ISNUMBER(dl_spread_between_two_bonds(B27,C27,isin_list,historic_data)),1,0))</f>
        <v>86</v>
      </c>
    </row>
    <row r="48" spans="3:4" ht="21.5" x14ac:dyDescent="0.55000000000000004">
      <c r="D48" s="8" t="s">
        <v>63</v>
      </c>
    </row>
    <row r="50" spans="2:260" x14ac:dyDescent="0.25">
      <c r="B50" t="s">
        <v>49</v>
      </c>
      <c r="C50" t="s">
        <v>50</v>
      </c>
    </row>
    <row r="51" spans="2:260" x14ac:dyDescent="0.25">
      <c r="B51" t="str">
        <f>B8</f>
        <v>XS2193661324</v>
      </c>
      <c r="C51" t="str">
        <f>B16</f>
        <v>another index</v>
      </c>
      <c r="D51" s="6" cm="1">
        <f t="array" aca="1" ref="D51:IZ51" ca="1">dl_spread_between_two_bonds(B51,C51,isin_list,historic_data)</f>
        <v>4.6638333333332866</v>
      </c>
      <c r="E51" s="6">
        <f ca="1"/>
        <v>6.1610000000000014</v>
      </c>
      <c r="F51" s="6">
        <f ca="1"/>
        <v>7.1888333333333208</v>
      </c>
      <c r="G51" s="6">
        <f ca="1"/>
        <v>12.965833333333308</v>
      </c>
      <c r="H51" s="6">
        <f ca="1"/>
        <v>14.741166666666686</v>
      </c>
      <c r="I51" s="6">
        <f ca="1"/>
        <v>16.644499999999994</v>
      </c>
      <c r="J51" s="6">
        <f ca="1"/>
        <v>16.276499999999999</v>
      </c>
      <c r="K51" s="6">
        <f ca="1"/>
        <v>17.246333333333325</v>
      </c>
      <c r="L51" s="6">
        <f ca="1"/>
        <v>13.140333333333331</v>
      </c>
      <c r="M51" s="6">
        <f ca="1"/>
        <v>11.507666666666637</v>
      </c>
      <c r="N51" s="6">
        <f ca="1"/>
        <v>13.334500000000048</v>
      </c>
      <c r="O51" s="6">
        <f ca="1"/>
        <v>15.657666666666671</v>
      </c>
      <c r="P51" s="6">
        <f ca="1"/>
        <v>11.192999999999984</v>
      </c>
      <c r="Q51" s="6">
        <f ca="1"/>
        <v>7.1866666666666674</v>
      </c>
      <c r="R51" s="6">
        <f ca="1"/>
        <v>7.1458333333333144</v>
      </c>
      <c r="S51" s="6">
        <f ca="1"/>
        <v>5.7276666666666642</v>
      </c>
      <c r="T51" s="6">
        <f ca="1"/>
        <v>7.3191666666666606</v>
      </c>
      <c r="U51" s="6">
        <f ca="1"/>
        <v>7.3523333333333198</v>
      </c>
      <c r="V51" s="6">
        <f ca="1"/>
        <v>4.4011666666666542</v>
      </c>
      <c r="W51" s="6">
        <f ca="1"/>
        <v>4.4759999999999991</v>
      </c>
      <c r="X51" s="6">
        <f ca="1"/>
        <v>15.063333333333333</v>
      </c>
      <c r="Y51" s="6">
        <f ca="1"/>
        <v>5.1129999999999995</v>
      </c>
      <c r="Z51" s="6">
        <f ca="1"/>
        <v>2.0970000000000368</v>
      </c>
      <c r="AA51" s="6">
        <f ca="1"/>
        <v>2.3945000000000505</v>
      </c>
      <c r="AB51" s="6">
        <f ca="1"/>
        <v>3.2481666666666911</v>
      </c>
      <c r="AC51" s="6">
        <f ca="1"/>
        <v>5.0783333333333189</v>
      </c>
      <c r="AD51" s="6">
        <f ca="1"/>
        <v>5.970833333333303</v>
      </c>
      <c r="AE51" s="6">
        <f ca="1"/>
        <v>5.7800000000000296</v>
      </c>
      <c r="AF51" s="6">
        <f ca="1"/>
        <v>4.7654999999999745</v>
      </c>
      <c r="AG51" s="6">
        <f ca="1"/>
        <v>3.5068333333333612</v>
      </c>
      <c r="AH51" s="6">
        <f ca="1"/>
        <v>3.4805000000000064</v>
      </c>
      <c r="AI51" s="6">
        <f ca="1"/>
        <v>1.1478333333333808</v>
      </c>
      <c r="AJ51" s="6">
        <f ca="1"/>
        <v>-1.8129999999999882</v>
      </c>
      <c r="AK51" s="6">
        <f ca="1"/>
        <v>-0.98359999999996717</v>
      </c>
      <c r="AL51" s="6">
        <f ca="1"/>
        <v>0.24519999999995434</v>
      </c>
      <c r="AM51" s="6">
        <f ca="1"/>
        <v>-3.1023999999999887</v>
      </c>
      <c r="AN51" s="6">
        <f ca="1"/>
        <v>0.93200000000001637</v>
      </c>
      <c r="AO51" s="6">
        <f ca="1"/>
        <v>5.4000000000087311E-3</v>
      </c>
      <c r="AP51" s="6">
        <f ca="1"/>
        <v>-3.0302000000000362</v>
      </c>
      <c r="AQ51" s="6">
        <f ca="1"/>
        <v>-4.4475999999999658</v>
      </c>
      <c r="AR51" s="6">
        <f ca="1"/>
        <v>-3.3793999999999755</v>
      </c>
      <c r="AS51" s="6">
        <f ca="1"/>
        <v>-1.9379999999999882</v>
      </c>
      <c r="AT51" s="6">
        <f ca="1"/>
        <v>-1.0885999999999854</v>
      </c>
      <c r="AU51" s="6">
        <f ca="1"/>
        <v>-4.1688000000000329</v>
      </c>
      <c r="AV51" s="6">
        <f ca="1"/>
        <v>-2.7064000000000874</v>
      </c>
      <c r="AW51" s="6">
        <f ca="1"/>
        <v>-3.3674000000000888</v>
      </c>
      <c r="AX51" s="6">
        <f ca="1"/>
        <v>-6.5973999999999933</v>
      </c>
      <c r="AY51" s="6">
        <f ca="1"/>
        <v>-9.7113999999999692</v>
      </c>
      <c r="AZ51" s="6">
        <f ca="1"/>
        <v>-11.566400000000044</v>
      </c>
      <c r="BA51" s="6">
        <f ca="1"/>
        <v>-14.575000000000045</v>
      </c>
      <c r="BB51" s="6">
        <f ca="1"/>
        <v>-14.461799999999926</v>
      </c>
      <c r="BC51" s="6">
        <f ca="1"/>
        <v>-17.242600000000039</v>
      </c>
      <c r="BD51" s="6">
        <f ca="1"/>
        <v>-18.172199999999975</v>
      </c>
      <c r="BE51" s="6">
        <f ca="1"/>
        <v>-24.54079999999999</v>
      </c>
      <c r="BF51" s="6">
        <f ca="1"/>
        <v>-11.539400000000001</v>
      </c>
      <c r="BG51" s="6">
        <f ca="1"/>
        <v>-5.7491999999999734</v>
      </c>
      <c r="BH51" s="6">
        <f ca="1"/>
        <v>-3.6033999999999651</v>
      </c>
      <c r="BI51" s="6">
        <f ca="1"/>
        <v>-5.9782000000000721</v>
      </c>
      <c r="BJ51" s="6">
        <f ca="1"/>
        <v>-9.4070000000000391</v>
      </c>
      <c r="BK51" s="6">
        <f ca="1"/>
        <v>-6.9447999999999865</v>
      </c>
      <c r="BL51" s="6">
        <f ca="1"/>
        <v>-10.130200000000002</v>
      </c>
      <c r="BM51" s="6">
        <f ca="1"/>
        <v>-11.324000000000012</v>
      </c>
      <c r="BN51" s="6">
        <f ca="1"/>
        <v>-11.225599999999986</v>
      </c>
      <c r="BO51" s="6">
        <f ca="1"/>
        <v>-8.059599999999989</v>
      </c>
      <c r="BP51" s="6">
        <f ca="1"/>
        <v>-14.80740000000003</v>
      </c>
      <c r="BQ51" s="6">
        <f ca="1"/>
        <v>-13.862400000000036</v>
      </c>
      <c r="BR51" s="6">
        <f ca="1"/>
        <v>-16.698999999999955</v>
      </c>
      <c r="BS51" s="6">
        <f ca="1"/>
        <v>-15.371799999999951</v>
      </c>
      <c r="BT51" s="6">
        <f ca="1"/>
        <v>-16.475000000000023</v>
      </c>
      <c r="BU51" s="6">
        <f ca="1"/>
        <v>-12.274399999999957</v>
      </c>
      <c r="BV51" s="6">
        <f ca="1"/>
        <v>-14.959400000000016</v>
      </c>
      <c r="BW51" s="6">
        <f ca="1"/>
        <v>-11.808800000000019</v>
      </c>
      <c r="BX51" s="6">
        <f ca="1"/>
        <v>-9.9306000000000267</v>
      </c>
      <c r="BY51" s="6">
        <f ca="1"/>
        <v>-7.7650000000000432</v>
      </c>
      <c r="BZ51" s="6">
        <f ca="1"/>
        <v>-5.8437999999999874</v>
      </c>
      <c r="CA51" s="6">
        <f ca="1"/>
        <v>-7.9876000000000431</v>
      </c>
      <c r="CB51" s="6">
        <f ca="1"/>
        <v>-11.300199999999961</v>
      </c>
      <c r="CC51" s="6">
        <f ca="1"/>
        <v>-16.015000000000043</v>
      </c>
      <c r="CD51" s="6">
        <f ca="1"/>
        <v>-16.753199999999993</v>
      </c>
      <c r="CE51" s="6">
        <f ca="1"/>
        <v>-13.399000000000001</v>
      </c>
      <c r="CF51" s="6">
        <f ca="1"/>
        <v>-14.629999999999939</v>
      </c>
      <c r="CG51" s="6">
        <f ca="1"/>
        <v>-14.835399999999993</v>
      </c>
      <c r="CH51" s="6">
        <f ca="1"/>
        <v>-12.148599999999988</v>
      </c>
      <c r="CI51" s="6">
        <f ca="1"/>
        <v>-11.604800000000012</v>
      </c>
      <c r="CJ51" s="6">
        <f ca="1"/>
        <v>-17.990599999999972</v>
      </c>
      <c r="CK51" s="6">
        <f ca="1"/>
        <v>-15.93199999999996</v>
      </c>
      <c r="CL51" s="6" t="str">
        <f ca="1"/>
        <v>-</v>
      </c>
      <c r="CM51" s="6" t="str">
        <f ca="1"/>
        <v>-</v>
      </c>
      <c r="CN51" s="6" t="str">
        <f ca="1"/>
        <v>-</v>
      </c>
      <c r="CO51" s="6" t="str">
        <f ca="1"/>
        <v>-</v>
      </c>
      <c r="CP51" s="6" t="str">
        <f ca="1"/>
        <v>-</v>
      </c>
      <c r="CQ51" s="6" t="str">
        <f ca="1"/>
        <v>-</v>
      </c>
      <c r="CR51" s="6" t="str">
        <f ca="1"/>
        <v>-</v>
      </c>
      <c r="CS51" s="6" t="str">
        <f ca="1"/>
        <v>-</v>
      </c>
      <c r="CT51" s="6" t="str">
        <f ca="1"/>
        <v>-</v>
      </c>
      <c r="CU51" s="6" t="str">
        <f ca="1"/>
        <v>-</v>
      </c>
      <c r="CV51" s="6" t="str">
        <f ca="1"/>
        <v>-</v>
      </c>
      <c r="CW51" s="6" t="str">
        <f ca="1"/>
        <v>-</v>
      </c>
      <c r="CX51" s="6" t="str">
        <f ca="1"/>
        <v>-</v>
      </c>
      <c r="CY51" s="6" t="str">
        <f ca="1"/>
        <v>-</v>
      </c>
      <c r="CZ51" s="6" t="str">
        <f ca="1"/>
        <v>-</v>
      </c>
      <c r="DA51" s="6" t="str">
        <f ca="1"/>
        <v>-</v>
      </c>
      <c r="DB51" s="6" t="str">
        <f ca="1"/>
        <v>-</v>
      </c>
      <c r="DC51" s="6" t="str">
        <f ca="1"/>
        <v>-</v>
      </c>
      <c r="DD51" s="6" t="str">
        <f ca="1"/>
        <v>-</v>
      </c>
      <c r="DE51" s="6" t="str">
        <f ca="1"/>
        <v>-</v>
      </c>
      <c r="DF51" s="6" t="str">
        <f ca="1"/>
        <v>-</v>
      </c>
      <c r="DG51" s="6" t="str">
        <f ca="1"/>
        <v>-</v>
      </c>
      <c r="DH51" s="6" t="str">
        <f ca="1"/>
        <v>-</v>
      </c>
      <c r="DI51" s="6" t="str">
        <f ca="1"/>
        <v>-</v>
      </c>
      <c r="DJ51" s="6" t="str">
        <f ca="1"/>
        <v>-</v>
      </c>
      <c r="DK51" s="6" t="str">
        <f ca="1"/>
        <v>-</v>
      </c>
      <c r="DL51" s="6" t="str">
        <f ca="1"/>
        <v>-</v>
      </c>
      <c r="DM51" s="6" t="str">
        <f ca="1"/>
        <v>-</v>
      </c>
      <c r="DN51" s="6" t="str">
        <f ca="1"/>
        <v>-</v>
      </c>
      <c r="DO51" s="6" t="str">
        <f ca="1"/>
        <v>-</v>
      </c>
      <c r="DP51" s="6" t="str">
        <f ca="1"/>
        <v>-</v>
      </c>
      <c r="DQ51" s="6" t="str">
        <f ca="1"/>
        <v>-</v>
      </c>
      <c r="DR51" s="6" t="str">
        <f ca="1"/>
        <v>-</v>
      </c>
      <c r="DS51" s="6" t="str">
        <f ca="1"/>
        <v>-</v>
      </c>
      <c r="DT51" s="6" t="str">
        <f ca="1"/>
        <v>-</v>
      </c>
      <c r="DU51" s="6" t="str">
        <f ca="1"/>
        <v>-</v>
      </c>
      <c r="DV51" s="6" t="str">
        <f ca="1"/>
        <v>-</v>
      </c>
      <c r="DW51" s="6" t="str">
        <f ca="1"/>
        <v>-</v>
      </c>
      <c r="DX51" s="6" t="str">
        <f ca="1"/>
        <v>-</v>
      </c>
      <c r="DY51" s="6" t="str">
        <f ca="1"/>
        <v>-</v>
      </c>
      <c r="DZ51" s="6" t="str">
        <f ca="1"/>
        <v>-</v>
      </c>
      <c r="EA51" s="6" t="str">
        <f ca="1"/>
        <v>-</v>
      </c>
      <c r="EB51" s="6" t="str">
        <f ca="1"/>
        <v>-</v>
      </c>
      <c r="EC51" s="6" t="str">
        <f ca="1"/>
        <v>-</v>
      </c>
      <c r="ED51" s="6" t="str">
        <f ca="1"/>
        <v>-</v>
      </c>
      <c r="EE51" s="6" t="str">
        <f ca="1"/>
        <v>-</v>
      </c>
      <c r="EF51" s="6" t="str">
        <f ca="1"/>
        <v>-</v>
      </c>
      <c r="EG51" s="6" t="str">
        <f ca="1"/>
        <v>-</v>
      </c>
      <c r="EH51" s="6" t="str">
        <f ca="1"/>
        <v>-</v>
      </c>
      <c r="EI51" s="6" t="str">
        <f ca="1"/>
        <v>-</v>
      </c>
      <c r="EJ51" s="6" t="str">
        <f ca="1"/>
        <v>-</v>
      </c>
      <c r="EK51" s="6" t="str">
        <f ca="1"/>
        <v>-</v>
      </c>
      <c r="EL51" s="6" t="str">
        <f ca="1"/>
        <v>-</v>
      </c>
      <c r="EM51" s="6" t="str">
        <f ca="1"/>
        <v>-</v>
      </c>
      <c r="EN51" s="6" t="str">
        <f ca="1"/>
        <v>-</v>
      </c>
      <c r="EO51" s="6" t="str">
        <f ca="1"/>
        <v>-</v>
      </c>
      <c r="EP51" s="6" t="str">
        <f ca="1"/>
        <v>-</v>
      </c>
      <c r="EQ51" s="6" t="str">
        <f ca="1"/>
        <v>-</v>
      </c>
      <c r="ER51" s="6" t="str">
        <f ca="1"/>
        <v>-</v>
      </c>
      <c r="ES51" s="6" t="str">
        <f ca="1"/>
        <v>-</v>
      </c>
      <c r="ET51" s="6" t="str">
        <f ca="1"/>
        <v>-</v>
      </c>
      <c r="EU51" s="6" t="str">
        <f ca="1"/>
        <v>-</v>
      </c>
      <c r="EV51" s="6" t="str">
        <f ca="1"/>
        <v>-</v>
      </c>
      <c r="EW51" s="6" t="str">
        <f ca="1"/>
        <v>-</v>
      </c>
      <c r="EX51" s="6" t="str">
        <f ca="1"/>
        <v>-</v>
      </c>
      <c r="EY51" s="6" t="str">
        <f ca="1"/>
        <v>-</v>
      </c>
      <c r="EZ51" s="6" t="str">
        <f ca="1"/>
        <v>-</v>
      </c>
      <c r="FA51" s="6" t="str">
        <f ca="1"/>
        <v>-</v>
      </c>
      <c r="FB51" s="6" t="str">
        <f ca="1"/>
        <v>-</v>
      </c>
      <c r="FC51" s="6" t="str">
        <f ca="1"/>
        <v>-</v>
      </c>
      <c r="FD51" s="6" t="str">
        <f ca="1"/>
        <v>-</v>
      </c>
      <c r="FE51" s="6" t="str">
        <f ca="1"/>
        <v>-</v>
      </c>
      <c r="FF51" s="6" t="str">
        <f ca="1"/>
        <v>-</v>
      </c>
      <c r="FG51" s="6" t="str">
        <f ca="1"/>
        <v>-</v>
      </c>
      <c r="FH51" s="6" t="str">
        <f ca="1"/>
        <v>-</v>
      </c>
      <c r="FI51" s="6" t="str">
        <f ca="1"/>
        <v>-</v>
      </c>
      <c r="FJ51" s="6" t="str">
        <f ca="1"/>
        <v>-</v>
      </c>
      <c r="FK51" s="6" t="str">
        <f ca="1"/>
        <v>-</v>
      </c>
      <c r="FL51" s="6" t="str">
        <f ca="1"/>
        <v>-</v>
      </c>
      <c r="FM51" s="6" t="str">
        <f ca="1"/>
        <v>-</v>
      </c>
      <c r="FN51" s="6" t="str">
        <f ca="1"/>
        <v>-</v>
      </c>
      <c r="FO51" s="6" t="str">
        <f ca="1"/>
        <v>-</v>
      </c>
      <c r="FP51" s="6" t="str">
        <f ca="1"/>
        <v>-</v>
      </c>
      <c r="FQ51" s="6" t="str">
        <f ca="1"/>
        <v>-</v>
      </c>
      <c r="FR51" s="6" t="str">
        <f ca="1"/>
        <v>-</v>
      </c>
      <c r="FS51" s="6" t="str">
        <f ca="1"/>
        <v>-</v>
      </c>
      <c r="FT51" s="6" t="str">
        <f ca="1"/>
        <v>-</v>
      </c>
      <c r="FU51" s="6" t="str">
        <f ca="1"/>
        <v>-</v>
      </c>
      <c r="FV51" s="6" t="str">
        <f ca="1"/>
        <v>-</v>
      </c>
      <c r="FW51" s="6" t="str">
        <f ca="1"/>
        <v>-</v>
      </c>
      <c r="FX51" s="6" t="str">
        <f ca="1"/>
        <v>-</v>
      </c>
      <c r="FY51" s="6" t="str">
        <f ca="1"/>
        <v>-</v>
      </c>
      <c r="FZ51" s="6" t="str">
        <f ca="1"/>
        <v>-</v>
      </c>
      <c r="GA51" s="6" t="str">
        <f ca="1"/>
        <v>-</v>
      </c>
      <c r="GB51" s="6" t="str">
        <f ca="1"/>
        <v>-</v>
      </c>
      <c r="GC51" s="6" t="str">
        <f ca="1"/>
        <v>-</v>
      </c>
      <c r="GD51" s="6" t="str">
        <f ca="1"/>
        <v>-</v>
      </c>
      <c r="GE51" s="6" t="str">
        <f ca="1"/>
        <v>-</v>
      </c>
      <c r="GF51" s="6" t="str">
        <f ca="1"/>
        <v>-</v>
      </c>
      <c r="GG51" s="6" t="str">
        <f ca="1"/>
        <v>-</v>
      </c>
      <c r="GH51" s="6" t="str">
        <f ca="1"/>
        <v>-</v>
      </c>
      <c r="GI51" s="6" t="str">
        <f ca="1"/>
        <v>-</v>
      </c>
      <c r="GJ51" s="6" t="str">
        <f ca="1"/>
        <v>-</v>
      </c>
      <c r="GK51" s="6" t="str">
        <f ca="1"/>
        <v>-</v>
      </c>
      <c r="GL51" s="6" t="str">
        <f ca="1"/>
        <v>-</v>
      </c>
      <c r="GM51" s="6" t="str">
        <f ca="1"/>
        <v>-</v>
      </c>
      <c r="GN51" s="6" t="str">
        <f ca="1"/>
        <v>-</v>
      </c>
      <c r="GO51" s="6" t="str">
        <f ca="1"/>
        <v>-</v>
      </c>
      <c r="GP51" s="6" t="str">
        <f ca="1"/>
        <v>-</v>
      </c>
      <c r="GQ51" s="6" t="str">
        <f ca="1"/>
        <v>-</v>
      </c>
      <c r="GR51" s="6" t="str">
        <f ca="1"/>
        <v>-</v>
      </c>
      <c r="GS51" s="6" t="str">
        <f ca="1"/>
        <v>-</v>
      </c>
      <c r="GT51" s="6" t="str">
        <f ca="1"/>
        <v>-</v>
      </c>
      <c r="GU51" s="6" t="str">
        <f ca="1"/>
        <v>-</v>
      </c>
      <c r="GV51" s="6" t="str">
        <f ca="1"/>
        <v>-</v>
      </c>
      <c r="GW51" s="6" t="str">
        <f ca="1"/>
        <v>-</v>
      </c>
      <c r="GX51" s="6" t="str">
        <f ca="1"/>
        <v>-</v>
      </c>
      <c r="GY51" s="6" t="str">
        <f ca="1"/>
        <v>-</v>
      </c>
      <c r="GZ51" s="6" t="str">
        <f ca="1"/>
        <v>-</v>
      </c>
      <c r="HA51" s="6" t="str">
        <f ca="1"/>
        <v>-</v>
      </c>
      <c r="HB51" s="6" t="str">
        <f ca="1"/>
        <v>-</v>
      </c>
      <c r="HC51" s="6" t="str">
        <f ca="1"/>
        <v>-</v>
      </c>
      <c r="HD51" s="6" t="str">
        <f ca="1"/>
        <v>-</v>
      </c>
      <c r="HE51" s="6" t="str">
        <f ca="1"/>
        <v>-</v>
      </c>
      <c r="HF51" s="6" t="str">
        <f ca="1"/>
        <v>-</v>
      </c>
      <c r="HG51" s="6" t="str">
        <f ca="1"/>
        <v>-</v>
      </c>
      <c r="HH51" s="6" t="str">
        <f ca="1"/>
        <v>-</v>
      </c>
      <c r="HI51" s="6" t="str">
        <f ca="1"/>
        <v>-</v>
      </c>
      <c r="HJ51" s="6" t="str">
        <f ca="1"/>
        <v>-</v>
      </c>
      <c r="HK51" s="6" t="str">
        <f ca="1"/>
        <v>-</v>
      </c>
      <c r="HL51" s="6" t="str">
        <f ca="1"/>
        <v>-</v>
      </c>
      <c r="HM51" s="6" t="str">
        <f ca="1"/>
        <v>-</v>
      </c>
      <c r="HN51" s="6" t="str">
        <f ca="1"/>
        <v>-</v>
      </c>
      <c r="HO51" s="6" t="str">
        <f ca="1"/>
        <v>-</v>
      </c>
      <c r="HP51" s="6" t="str">
        <f ca="1"/>
        <v>-</v>
      </c>
      <c r="HQ51" s="6" t="str">
        <f ca="1"/>
        <v>-</v>
      </c>
      <c r="HR51" s="6" t="str">
        <f ca="1"/>
        <v>-</v>
      </c>
      <c r="HS51" s="6" t="str">
        <f ca="1"/>
        <v>-</v>
      </c>
      <c r="HT51" s="6" t="str">
        <f ca="1"/>
        <v>-</v>
      </c>
      <c r="HU51" s="6" t="str">
        <f ca="1"/>
        <v>-</v>
      </c>
      <c r="HV51" s="6" t="str">
        <f ca="1"/>
        <v>-</v>
      </c>
      <c r="HW51" s="6" t="str">
        <f ca="1"/>
        <v>-</v>
      </c>
      <c r="HX51" s="6" t="str">
        <f ca="1"/>
        <v>-</v>
      </c>
      <c r="HY51" s="6" t="str">
        <f ca="1"/>
        <v>-</v>
      </c>
      <c r="HZ51" s="6" t="str">
        <f ca="1"/>
        <v>-</v>
      </c>
      <c r="IA51" s="6" t="str">
        <f ca="1"/>
        <v>-</v>
      </c>
      <c r="IB51" s="6" t="str">
        <f ca="1"/>
        <v>-</v>
      </c>
      <c r="IC51" s="6" t="str">
        <f ca="1"/>
        <v>-</v>
      </c>
      <c r="ID51" s="6" t="str">
        <f ca="1"/>
        <v>-</v>
      </c>
      <c r="IE51" s="6" t="str">
        <f ca="1"/>
        <v>-</v>
      </c>
      <c r="IF51" s="6" t="str">
        <f ca="1"/>
        <v>-</v>
      </c>
      <c r="IG51" s="6" t="str">
        <f ca="1"/>
        <v>-</v>
      </c>
      <c r="IH51" s="6" t="str">
        <f ca="1"/>
        <v>-</v>
      </c>
      <c r="II51" s="6" t="str">
        <f ca="1"/>
        <v>-</v>
      </c>
      <c r="IJ51" s="6" t="str">
        <f ca="1"/>
        <v>-</v>
      </c>
      <c r="IK51" s="6" t="str">
        <f ca="1"/>
        <v>-</v>
      </c>
      <c r="IL51" s="6" t="str">
        <f ca="1"/>
        <v>-</v>
      </c>
      <c r="IM51" s="6" t="str">
        <f ca="1"/>
        <v>-</v>
      </c>
      <c r="IN51" s="6" t="str">
        <f ca="1"/>
        <v>-</v>
      </c>
      <c r="IO51" s="6" t="str">
        <f ca="1"/>
        <v>-</v>
      </c>
      <c r="IP51" s="6" t="str">
        <f ca="1"/>
        <v>-</v>
      </c>
      <c r="IQ51" s="6" t="str">
        <f ca="1"/>
        <v>-</v>
      </c>
      <c r="IR51" s="6" t="str">
        <f ca="1"/>
        <v>-</v>
      </c>
      <c r="IS51" s="6" t="str">
        <f ca="1"/>
        <v>-</v>
      </c>
      <c r="IT51" s="6" t="str">
        <f ca="1"/>
        <v>-</v>
      </c>
      <c r="IU51" s="6" t="str">
        <f ca="1"/>
        <v>-</v>
      </c>
      <c r="IV51" s="6" t="str">
        <f ca="1"/>
        <v>-</v>
      </c>
      <c r="IW51" s="6" t="str">
        <f ca="1"/>
        <v>-</v>
      </c>
      <c r="IX51" s="6" t="str">
        <f ca="1"/>
        <v>-</v>
      </c>
      <c r="IY51" s="6" t="str">
        <f ca="1"/>
        <v>-</v>
      </c>
      <c r="IZ51" s="6" t="str">
        <f ca="1"/>
        <v>-</v>
      </c>
    </row>
    <row r="57" spans="2:260" ht="21.5" x14ac:dyDescent="0.55000000000000004">
      <c r="D57" s="8" t="s">
        <v>65</v>
      </c>
    </row>
    <row r="58" spans="2:260" x14ac:dyDescent="0.25">
      <c r="B58" t="s">
        <v>49</v>
      </c>
      <c r="C58" t="s">
        <v>66</v>
      </c>
    </row>
    <row r="59" spans="2:260" x14ac:dyDescent="0.25">
      <c r="B59" t="str">
        <f>B8</f>
        <v>XS2193661324</v>
      </c>
      <c r="C59" t="str">
        <f>B19</f>
        <v>ITRX XOVER CDSI GEN 5Y</v>
      </c>
      <c r="D59" s="6" cm="1">
        <f t="array" aca="1" ref="D59:IZ59" ca="1">dl_spread_between_two_bonds(B59,C59,isin_list,historic_data)</f>
        <v>-24.117999999999995</v>
      </c>
      <c r="E59" s="6">
        <f ca="1"/>
        <v>-22.859000000000037</v>
      </c>
      <c r="F59" s="6">
        <f ca="1"/>
        <v>-28.557000000000016</v>
      </c>
      <c r="G59" s="6">
        <f ca="1"/>
        <v>-25.007999999999981</v>
      </c>
      <c r="H59" s="6">
        <f ca="1"/>
        <v>-14.424000000000035</v>
      </c>
      <c r="I59" s="6">
        <f ca="1"/>
        <v>-4.0120000000000005</v>
      </c>
      <c r="J59" s="6">
        <f ca="1"/>
        <v>-11.521999999999991</v>
      </c>
      <c r="K59" s="6">
        <f ca="1"/>
        <v>-19.100999999999999</v>
      </c>
      <c r="L59" s="6">
        <f ca="1"/>
        <v>-22.675999999999988</v>
      </c>
      <c r="M59" s="6">
        <f ca="1"/>
        <v>-30.410000000000025</v>
      </c>
      <c r="N59" s="6">
        <f ca="1"/>
        <v>-32.190999999999974</v>
      </c>
      <c r="O59" s="6">
        <f ca="1"/>
        <v>-32.964999999999975</v>
      </c>
      <c r="P59" s="6">
        <f ca="1"/>
        <v>-40.455000000000041</v>
      </c>
      <c r="Q59" s="6">
        <f ca="1"/>
        <v>-40.989999999999952</v>
      </c>
      <c r="R59" s="6">
        <f ca="1"/>
        <v>-37.20799999999997</v>
      </c>
      <c r="S59" s="6">
        <f ca="1"/>
        <v>-29.05600000000004</v>
      </c>
      <c r="T59" s="6">
        <f ca="1"/>
        <v>-39.961999999999989</v>
      </c>
      <c r="U59" s="6">
        <f ca="1"/>
        <v>-38.271999999999991</v>
      </c>
      <c r="V59" s="6">
        <f ca="1"/>
        <v>-32.478999999999985</v>
      </c>
      <c r="W59" s="6">
        <f ca="1"/>
        <v>-27.038999999999987</v>
      </c>
      <c r="X59" s="6">
        <f ca="1"/>
        <v>-10.175999999999988</v>
      </c>
      <c r="Y59" s="6">
        <f ca="1"/>
        <v>-9.7450000000000045</v>
      </c>
      <c r="Z59" s="6">
        <f ca="1"/>
        <v>-10.755999999999972</v>
      </c>
      <c r="AA59" s="6">
        <f ca="1"/>
        <v>0.23399999999998045</v>
      </c>
      <c r="AB59" s="6">
        <f ca="1"/>
        <v>-10.834000000000003</v>
      </c>
      <c r="AC59" s="6">
        <f ca="1"/>
        <v>-12.671999999999969</v>
      </c>
      <c r="AD59" s="6">
        <f ca="1"/>
        <v>-24.375</v>
      </c>
      <c r="AE59" s="6">
        <f ca="1"/>
        <v>-19.988</v>
      </c>
      <c r="AF59" s="6">
        <f ca="1"/>
        <v>-16.901999999999987</v>
      </c>
      <c r="AG59" s="6">
        <f ca="1"/>
        <v>-38.66500000000002</v>
      </c>
      <c r="AH59" s="6">
        <f ca="1"/>
        <v>-40.144000000000005</v>
      </c>
      <c r="AI59" s="6">
        <f ca="1"/>
        <v>-45.555999999999983</v>
      </c>
      <c r="AJ59" s="6">
        <f ca="1"/>
        <v>-41.94599999999997</v>
      </c>
      <c r="AK59" s="6">
        <f ca="1"/>
        <v>-22.363999999999976</v>
      </c>
      <c r="AL59" s="6">
        <f ca="1"/>
        <v>-24.125</v>
      </c>
      <c r="AM59" s="6">
        <f ca="1"/>
        <v>-40.385999999999967</v>
      </c>
      <c r="AN59" s="6">
        <f ca="1"/>
        <v>-32.763000000000034</v>
      </c>
      <c r="AO59" s="6">
        <f ca="1"/>
        <v>-38.072999999999979</v>
      </c>
      <c r="AP59" s="6">
        <f ca="1"/>
        <v>-49.338000000000022</v>
      </c>
      <c r="AQ59" s="6">
        <f ca="1"/>
        <v>-47.598000000000013</v>
      </c>
      <c r="AR59" s="6">
        <f ca="1"/>
        <v>-47.551999999999964</v>
      </c>
      <c r="AS59" s="6">
        <f ca="1"/>
        <v>-46.54000000000002</v>
      </c>
      <c r="AT59" s="6">
        <f ca="1"/>
        <v>-43.716999999999985</v>
      </c>
      <c r="AU59" s="6">
        <f ca="1"/>
        <v>-55.216999999999985</v>
      </c>
      <c r="AV59" s="6">
        <f ca="1"/>
        <v>-54.870000000000005</v>
      </c>
      <c r="AW59" s="6">
        <f ca="1"/>
        <v>-63.13900000000001</v>
      </c>
      <c r="AX59" s="6">
        <f ca="1"/>
        <v>-60.206000000000017</v>
      </c>
      <c r="AY59" s="6">
        <f ca="1"/>
        <v>-67.668999999999983</v>
      </c>
      <c r="AZ59" s="6">
        <f ca="1"/>
        <v>-74.252999999999986</v>
      </c>
      <c r="BA59" s="6">
        <f ca="1"/>
        <v>-74.688000000000045</v>
      </c>
      <c r="BB59" s="6">
        <f ca="1"/>
        <v>-62.185000000000002</v>
      </c>
      <c r="BC59" s="6">
        <f ca="1"/>
        <v>-65.118999999999971</v>
      </c>
      <c r="BD59" s="6">
        <f ca="1"/>
        <v>-58.593999999999994</v>
      </c>
      <c r="BE59" s="6">
        <f ca="1"/>
        <v>-69.800999999999988</v>
      </c>
      <c r="BF59" s="6">
        <f ca="1"/>
        <v>-52.109000000000037</v>
      </c>
      <c r="BG59" s="6">
        <f ca="1"/>
        <v>-60.69599999999997</v>
      </c>
      <c r="BH59" s="6">
        <f ca="1"/>
        <v>-60.731999999999971</v>
      </c>
      <c r="BI59" s="6">
        <f ca="1"/>
        <v>-50.19</v>
      </c>
      <c r="BJ59" s="6">
        <f ca="1"/>
        <v>-69.30400000000003</v>
      </c>
      <c r="BK59" s="6">
        <f ca="1"/>
        <v>-63.82000000000005</v>
      </c>
      <c r="BL59" s="6">
        <f ca="1"/>
        <v>-57.004000000000019</v>
      </c>
      <c r="BM59" s="6">
        <f ca="1"/>
        <v>-51.838999999999999</v>
      </c>
      <c r="BN59" s="6">
        <f ca="1"/>
        <v>-54.076999999999998</v>
      </c>
      <c r="BO59" s="6">
        <f ca="1"/>
        <v>-47.781000000000006</v>
      </c>
      <c r="BP59" s="6">
        <f ca="1"/>
        <v>-57.483000000000004</v>
      </c>
      <c r="BQ59" s="6">
        <f ca="1"/>
        <v>-62.983000000000004</v>
      </c>
      <c r="BR59" s="6">
        <f ca="1"/>
        <v>-52.242999999999995</v>
      </c>
      <c r="BS59" s="6">
        <f ca="1"/>
        <v>-49.225999999999999</v>
      </c>
      <c r="BT59" s="6">
        <f ca="1"/>
        <v>-53.163000000000011</v>
      </c>
      <c r="BU59" s="6">
        <f ca="1"/>
        <v>-39.437999999999988</v>
      </c>
      <c r="BV59" s="6">
        <f ca="1"/>
        <v>-49.228999999999985</v>
      </c>
      <c r="BW59" s="6">
        <f ca="1"/>
        <v>-41.007000000000005</v>
      </c>
      <c r="BX59" s="6">
        <f ca="1"/>
        <v>-37.506999999999948</v>
      </c>
      <c r="BY59" s="6">
        <f ca="1"/>
        <v>-38.694000000000017</v>
      </c>
      <c r="BZ59" s="6">
        <f ca="1"/>
        <v>-36.165999999999997</v>
      </c>
      <c r="CA59" s="6">
        <f ca="1"/>
        <v>-55.049000000000035</v>
      </c>
      <c r="CB59" s="6">
        <f ca="1"/>
        <v>-45.329000000000008</v>
      </c>
      <c r="CC59" s="6">
        <f ca="1"/>
        <v>-46.461000000000013</v>
      </c>
      <c r="CD59" s="6">
        <f ca="1"/>
        <v>-52.165999999999997</v>
      </c>
      <c r="CE59" s="6">
        <f ca="1"/>
        <v>-49.947999999999979</v>
      </c>
      <c r="CF59" s="6">
        <f ca="1"/>
        <v>-54.521000000000015</v>
      </c>
      <c r="CG59" s="6">
        <f ca="1"/>
        <v>-39.576999999999998</v>
      </c>
      <c r="CH59" s="6">
        <f ca="1"/>
        <v>-40.463000000000022</v>
      </c>
      <c r="CI59" s="6">
        <f ca="1"/>
        <v>-22.324999999999989</v>
      </c>
      <c r="CJ59" s="6">
        <f ca="1"/>
        <v>-44.375999999999976</v>
      </c>
      <c r="CK59" s="6">
        <f ca="1"/>
        <v>-32.149000000000001</v>
      </c>
      <c r="CL59" s="6" t="str">
        <f ca="1"/>
        <v>-</v>
      </c>
      <c r="CM59" s="6" t="str">
        <f ca="1"/>
        <v>-</v>
      </c>
      <c r="CN59" s="6" t="str">
        <f ca="1"/>
        <v>-</v>
      </c>
      <c r="CO59" s="6" t="str">
        <f ca="1"/>
        <v>-</v>
      </c>
      <c r="CP59" s="6" t="str">
        <f ca="1"/>
        <v>-</v>
      </c>
      <c r="CQ59" s="6" t="str">
        <f ca="1"/>
        <v>-</v>
      </c>
      <c r="CR59" s="6" t="str">
        <f ca="1"/>
        <v>-</v>
      </c>
      <c r="CS59" s="6" t="str">
        <f ca="1"/>
        <v>-</v>
      </c>
      <c r="CT59" s="6" t="str">
        <f ca="1"/>
        <v>-</v>
      </c>
      <c r="CU59" s="6" t="str">
        <f ca="1"/>
        <v>-</v>
      </c>
      <c r="CV59" s="6" t="str">
        <f ca="1"/>
        <v>-</v>
      </c>
      <c r="CW59" s="6" t="str">
        <f ca="1"/>
        <v>-</v>
      </c>
      <c r="CX59" s="6" t="str">
        <f ca="1"/>
        <v>-</v>
      </c>
      <c r="CY59" s="6" t="str">
        <f ca="1"/>
        <v>-</v>
      </c>
      <c r="CZ59" s="6" t="str">
        <f ca="1"/>
        <v>-</v>
      </c>
      <c r="DA59" s="6" t="str">
        <f ca="1"/>
        <v>-</v>
      </c>
      <c r="DB59" s="6" t="str">
        <f ca="1"/>
        <v>-</v>
      </c>
      <c r="DC59" s="6" t="str">
        <f ca="1"/>
        <v>-</v>
      </c>
      <c r="DD59" s="6" t="str">
        <f ca="1"/>
        <v>-</v>
      </c>
      <c r="DE59" s="6" t="str">
        <f ca="1"/>
        <v>-</v>
      </c>
      <c r="DF59" s="6" t="str">
        <f ca="1"/>
        <v>-</v>
      </c>
      <c r="DG59" s="6" t="str">
        <f ca="1"/>
        <v>-</v>
      </c>
      <c r="DH59" s="6" t="str">
        <f ca="1"/>
        <v>-</v>
      </c>
      <c r="DI59" s="6" t="str">
        <f ca="1"/>
        <v>-</v>
      </c>
      <c r="DJ59" s="6" t="str">
        <f ca="1"/>
        <v>-</v>
      </c>
      <c r="DK59" s="6" t="str">
        <f ca="1"/>
        <v>-</v>
      </c>
      <c r="DL59" s="6" t="str">
        <f ca="1"/>
        <v>-</v>
      </c>
      <c r="DM59" s="6" t="str">
        <f ca="1"/>
        <v>-</v>
      </c>
      <c r="DN59" s="6" t="str">
        <f ca="1"/>
        <v>-</v>
      </c>
      <c r="DO59" s="6" t="str">
        <f ca="1"/>
        <v>-</v>
      </c>
      <c r="DP59" s="6" t="str">
        <f ca="1"/>
        <v>-</v>
      </c>
      <c r="DQ59" s="6" t="str">
        <f ca="1"/>
        <v>-</v>
      </c>
      <c r="DR59" s="6" t="str">
        <f ca="1"/>
        <v>-</v>
      </c>
      <c r="DS59" s="6" t="str">
        <f ca="1"/>
        <v>-</v>
      </c>
      <c r="DT59" s="6" t="str">
        <f ca="1"/>
        <v>-</v>
      </c>
      <c r="DU59" s="6" t="str">
        <f ca="1"/>
        <v>-</v>
      </c>
      <c r="DV59" s="6" t="str">
        <f ca="1"/>
        <v>-</v>
      </c>
      <c r="DW59" s="6" t="str">
        <f ca="1"/>
        <v>-</v>
      </c>
      <c r="DX59" s="6" t="str">
        <f ca="1"/>
        <v>-</v>
      </c>
      <c r="DY59" s="6" t="str">
        <f ca="1"/>
        <v>-</v>
      </c>
      <c r="DZ59" s="6" t="str">
        <f ca="1"/>
        <v>-</v>
      </c>
      <c r="EA59" s="6" t="str">
        <f ca="1"/>
        <v>-</v>
      </c>
      <c r="EB59" s="6" t="str">
        <f ca="1"/>
        <v>-</v>
      </c>
      <c r="EC59" s="6" t="str">
        <f ca="1"/>
        <v>-</v>
      </c>
      <c r="ED59" s="6" t="str">
        <f ca="1"/>
        <v>-</v>
      </c>
      <c r="EE59" s="6" t="str">
        <f ca="1"/>
        <v>-</v>
      </c>
      <c r="EF59" s="6" t="str">
        <f ca="1"/>
        <v>-</v>
      </c>
      <c r="EG59" s="6" t="str">
        <f ca="1"/>
        <v>-</v>
      </c>
      <c r="EH59" s="6" t="str">
        <f ca="1"/>
        <v>-</v>
      </c>
      <c r="EI59" s="6" t="str">
        <f ca="1"/>
        <v>-</v>
      </c>
      <c r="EJ59" s="6" t="str">
        <f ca="1"/>
        <v>-</v>
      </c>
      <c r="EK59" s="6" t="str">
        <f ca="1"/>
        <v>-</v>
      </c>
      <c r="EL59" s="6" t="str">
        <f ca="1"/>
        <v>-</v>
      </c>
      <c r="EM59" s="6" t="str">
        <f ca="1"/>
        <v>-</v>
      </c>
      <c r="EN59" s="6" t="str">
        <f ca="1"/>
        <v>-</v>
      </c>
      <c r="EO59" s="6" t="str">
        <f ca="1"/>
        <v>-</v>
      </c>
      <c r="EP59" s="6" t="str">
        <f ca="1"/>
        <v>-</v>
      </c>
      <c r="EQ59" s="6" t="str">
        <f ca="1"/>
        <v>-</v>
      </c>
      <c r="ER59" s="6" t="str">
        <f ca="1"/>
        <v>-</v>
      </c>
      <c r="ES59" s="6" t="str">
        <f ca="1"/>
        <v>-</v>
      </c>
      <c r="ET59" s="6" t="str">
        <f ca="1"/>
        <v>-</v>
      </c>
      <c r="EU59" s="6" t="str">
        <f ca="1"/>
        <v>-</v>
      </c>
      <c r="EV59" s="6" t="str">
        <f ca="1"/>
        <v>-</v>
      </c>
      <c r="EW59" s="6" t="str">
        <f ca="1"/>
        <v>-</v>
      </c>
      <c r="EX59" s="6" t="str">
        <f ca="1"/>
        <v>-</v>
      </c>
      <c r="EY59" s="6" t="str">
        <f ca="1"/>
        <v>-</v>
      </c>
      <c r="EZ59" s="6" t="str">
        <f ca="1"/>
        <v>-</v>
      </c>
      <c r="FA59" s="6" t="str">
        <f ca="1"/>
        <v>-</v>
      </c>
      <c r="FB59" s="6" t="str">
        <f ca="1"/>
        <v>-</v>
      </c>
      <c r="FC59" s="6" t="str">
        <f ca="1"/>
        <v>-</v>
      </c>
      <c r="FD59" s="6" t="str">
        <f ca="1"/>
        <v>-</v>
      </c>
      <c r="FE59" s="6" t="str">
        <f ca="1"/>
        <v>-</v>
      </c>
      <c r="FF59" s="6" t="str">
        <f ca="1"/>
        <v>-</v>
      </c>
      <c r="FG59" s="6" t="str">
        <f ca="1"/>
        <v>-</v>
      </c>
      <c r="FH59" s="6" t="str">
        <f ca="1"/>
        <v>-</v>
      </c>
      <c r="FI59" s="6" t="str">
        <f ca="1"/>
        <v>-</v>
      </c>
      <c r="FJ59" s="6" t="str">
        <f ca="1"/>
        <v>-</v>
      </c>
      <c r="FK59" s="6" t="str">
        <f ca="1"/>
        <v>-</v>
      </c>
      <c r="FL59" s="6" t="str">
        <f ca="1"/>
        <v>-</v>
      </c>
      <c r="FM59" s="6" t="str">
        <f ca="1"/>
        <v>-</v>
      </c>
      <c r="FN59" s="6" t="str">
        <f ca="1"/>
        <v>-</v>
      </c>
      <c r="FO59" s="6" t="str">
        <f ca="1"/>
        <v>-</v>
      </c>
      <c r="FP59" s="6" t="str">
        <f ca="1"/>
        <v>-</v>
      </c>
      <c r="FQ59" s="6" t="str">
        <f ca="1"/>
        <v>-</v>
      </c>
      <c r="FR59" s="6" t="str">
        <f ca="1"/>
        <v>-</v>
      </c>
      <c r="FS59" s="6" t="str">
        <f ca="1"/>
        <v>-</v>
      </c>
      <c r="FT59" s="6" t="str">
        <f ca="1"/>
        <v>-</v>
      </c>
      <c r="FU59" s="6" t="str">
        <f ca="1"/>
        <v>-</v>
      </c>
      <c r="FV59" s="6" t="str">
        <f ca="1"/>
        <v>-</v>
      </c>
      <c r="FW59" s="6" t="str">
        <f ca="1"/>
        <v>-</v>
      </c>
      <c r="FX59" s="6" t="str">
        <f ca="1"/>
        <v>-</v>
      </c>
      <c r="FY59" s="6" t="str">
        <f ca="1"/>
        <v>-</v>
      </c>
      <c r="FZ59" s="6" t="str">
        <f ca="1"/>
        <v>-</v>
      </c>
      <c r="GA59" s="6" t="str">
        <f ca="1"/>
        <v>-</v>
      </c>
      <c r="GB59" s="6" t="str">
        <f ca="1"/>
        <v>-</v>
      </c>
      <c r="GC59" s="6" t="str">
        <f ca="1"/>
        <v>-</v>
      </c>
      <c r="GD59" s="6" t="str">
        <f ca="1"/>
        <v>-</v>
      </c>
      <c r="GE59" s="6" t="str">
        <f ca="1"/>
        <v>-</v>
      </c>
      <c r="GF59" s="6" t="str">
        <f ca="1"/>
        <v>-</v>
      </c>
      <c r="GG59" s="6" t="str">
        <f ca="1"/>
        <v>-</v>
      </c>
      <c r="GH59" s="6" t="str">
        <f ca="1"/>
        <v>-</v>
      </c>
      <c r="GI59" s="6" t="str">
        <f ca="1"/>
        <v>-</v>
      </c>
      <c r="GJ59" s="6" t="str">
        <f ca="1"/>
        <v>-</v>
      </c>
      <c r="GK59" s="6" t="str">
        <f ca="1"/>
        <v>-</v>
      </c>
      <c r="GL59" s="6" t="str">
        <f ca="1"/>
        <v>-</v>
      </c>
      <c r="GM59" s="6" t="str">
        <f ca="1"/>
        <v>-</v>
      </c>
      <c r="GN59" s="6" t="str">
        <f ca="1"/>
        <v>-</v>
      </c>
      <c r="GO59" s="6" t="str">
        <f ca="1"/>
        <v>-</v>
      </c>
      <c r="GP59" s="6" t="str">
        <f ca="1"/>
        <v>-</v>
      </c>
      <c r="GQ59" s="6" t="str">
        <f ca="1"/>
        <v>-</v>
      </c>
      <c r="GR59" s="6" t="str">
        <f ca="1"/>
        <v>-</v>
      </c>
      <c r="GS59" s="6" t="str">
        <f ca="1"/>
        <v>-</v>
      </c>
      <c r="GT59" s="6" t="str">
        <f ca="1"/>
        <v>-</v>
      </c>
      <c r="GU59" s="6" t="str">
        <f ca="1"/>
        <v>-</v>
      </c>
      <c r="GV59" s="6" t="str">
        <f ca="1"/>
        <v>-</v>
      </c>
      <c r="GW59" s="6" t="str">
        <f ca="1"/>
        <v>-</v>
      </c>
      <c r="GX59" s="6" t="str">
        <f ca="1"/>
        <v>-</v>
      </c>
      <c r="GY59" s="6" t="str">
        <f ca="1"/>
        <v>-</v>
      </c>
      <c r="GZ59" s="6" t="str">
        <f ca="1"/>
        <v>-</v>
      </c>
      <c r="HA59" s="6" t="str">
        <f ca="1"/>
        <v>-</v>
      </c>
      <c r="HB59" s="6" t="str">
        <f ca="1"/>
        <v>-</v>
      </c>
      <c r="HC59" s="6" t="str">
        <f ca="1"/>
        <v>-</v>
      </c>
      <c r="HD59" s="6" t="str">
        <f ca="1"/>
        <v>-</v>
      </c>
      <c r="HE59" s="6" t="str">
        <f ca="1"/>
        <v>-</v>
      </c>
      <c r="HF59" s="6" t="str">
        <f ca="1"/>
        <v>-</v>
      </c>
      <c r="HG59" s="6" t="str">
        <f ca="1"/>
        <v>-</v>
      </c>
      <c r="HH59" s="6" t="str">
        <f ca="1"/>
        <v>-</v>
      </c>
      <c r="HI59" s="6" t="str">
        <f ca="1"/>
        <v>-</v>
      </c>
      <c r="HJ59" s="6" t="str">
        <f ca="1"/>
        <v>-</v>
      </c>
      <c r="HK59" s="6" t="str">
        <f ca="1"/>
        <v>-</v>
      </c>
      <c r="HL59" s="6" t="str">
        <f ca="1"/>
        <v>-</v>
      </c>
      <c r="HM59" s="6" t="str">
        <f ca="1"/>
        <v>-</v>
      </c>
      <c r="HN59" s="6" t="str">
        <f ca="1"/>
        <v>-</v>
      </c>
      <c r="HO59" s="6" t="str">
        <f ca="1"/>
        <v>-</v>
      </c>
      <c r="HP59" s="6" t="str">
        <f ca="1"/>
        <v>-</v>
      </c>
      <c r="HQ59" s="6" t="str">
        <f ca="1"/>
        <v>-</v>
      </c>
      <c r="HR59" s="6" t="str">
        <f ca="1"/>
        <v>-</v>
      </c>
      <c r="HS59" s="6" t="str">
        <f ca="1"/>
        <v>-</v>
      </c>
      <c r="HT59" s="6" t="str">
        <f ca="1"/>
        <v>-</v>
      </c>
      <c r="HU59" s="6" t="str">
        <f ca="1"/>
        <v>-</v>
      </c>
      <c r="HV59" s="6" t="str">
        <f ca="1"/>
        <v>-</v>
      </c>
      <c r="HW59" s="6" t="str">
        <f ca="1"/>
        <v>-</v>
      </c>
      <c r="HX59" s="6" t="str">
        <f ca="1"/>
        <v>-</v>
      </c>
      <c r="HY59" s="6" t="str">
        <f ca="1"/>
        <v>-</v>
      </c>
      <c r="HZ59" s="6" t="str">
        <f ca="1"/>
        <v>-</v>
      </c>
      <c r="IA59" s="6" t="str">
        <f ca="1"/>
        <v>-</v>
      </c>
      <c r="IB59" s="6" t="str">
        <f ca="1"/>
        <v>-</v>
      </c>
      <c r="IC59" s="6" t="str">
        <f ca="1"/>
        <v>-</v>
      </c>
      <c r="ID59" s="6" t="str">
        <f ca="1"/>
        <v>-</v>
      </c>
      <c r="IE59" s="6" t="str">
        <f ca="1"/>
        <v>-</v>
      </c>
      <c r="IF59" s="6" t="str">
        <f ca="1"/>
        <v>-</v>
      </c>
      <c r="IG59" s="6" t="str">
        <f ca="1"/>
        <v>-</v>
      </c>
      <c r="IH59" s="6" t="str">
        <f ca="1"/>
        <v>-</v>
      </c>
      <c r="II59" s="6" t="str">
        <f ca="1"/>
        <v>-</v>
      </c>
      <c r="IJ59" s="6" t="str">
        <f ca="1"/>
        <v>-</v>
      </c>
      <c r="IK59" s="6" t="str">
        <f ca="1"/>
        <v>-</v>
      </c>
      <c r="IL59" s="6" t="str">
        <f ca="1"/>
        <v>-</v>
      </c>
      <c r="IM59" s="6" t="str">
        <f ca="1"/>
        <v>-</v>
      </c>
      <c r="IN59" s="6" t="str">
        <f ca="1"/>
        <v>-</v>
      </c>
      <c r="IO59" s="6" t="str">
        <f ca="1"/>
        <v>-</v>
      </c>
      <c r="IP59" s="6" t="str">
        <f ca="1"/>
        <v>-</v>
      </c>
      <c r="IQ59" s="6" t="str">
        <f ca="1"/>
        <v>-</v>
      </c>
      <c r="IR59" s="6" t="str">
        <f ca="1"/>
        <v>-</v>
      </c>
      <c r="IS59" s="6" t="str">
        <f ca="1"/>
        <v>-</v>
      </c>
      <c r="IT59" s="6" t="str">
        <f ca="1"/>
        <v>-</v>
      </c>
      <c r="IU59" s="6" t="str">
        <f ca="1"/>
        <v>-</v>
      </c>
      <c r="IV59" s="6" t="str">
        <f ca="1"/>
        <v>-</v>
      </c>
      <c r="IW59" s="6" t="str">
        <f ca="1"/>
        <v>-</v>
      </c>
      <c r="IX59" s="6" t="str">
        <f ca="1"/>
        <v>-</v>
      </c>
      <c r="IY59" s="6" t="str">
        <f ca="1"/>
        <v>-</v>
      </c>
      <c r="IZ59" s="6" t="str">
        <f ca="1"/>
        <v>-</v>
      </c>
    </row>
    <row r="62" spans="2:260" ht="21.5" x14ac:dyDescent="0.55000000000000004">
      <c r="D62" s="8" t="s">
        <v>55</v>
      </c>
    </row>
    <row r="63" spans="2:260" x14ac:dyDescent="0.25">
      <c r="C63" t="s">
        <v>51</v>
      </c>
      <c r="D63" s="6">
        <f ca="1">MIN(dl_spread_between_two_bonds(B59,C59,isin_list,historic_data))</f>
        <v>-74.688000000000045</v>
      </c>
    </row>
    <row r="64" spans="2:260" x14ac:dyDescent="0.25">
      <c r="C64" t="s">
        <v>52</v>
      </c>
      <c r="D64" s="6">
        <f ca="1">MAX(dl_spread_between_two_bonds(B59,C59,isin_list,historic_data))</f>
        <v>0.23399999999998045</v>
      </c>
    </row>
    <row r="65" spans="3:4" x14ac:dyDescent="0.25">
      <c r="C65" t="s">
        <v>53</v>
      </c>
      <c r="D65" s="6">
        <f ca="1">AVERAGE(dl_spread_between_two_bonds(B59,C59,isin_list,historic_data))</f>
        <v>-40.698616279069775</v>
      </c>
    </row>
    <row r="66" spans="3:4" x14ac:dyDescent="0.25">
      <c r="C66" t="s">
        <v>54</v>
      </c>
      <c r="D66" s="6">
        <f ca="1">_xlfn.STDEV.P(dl_spread_between_two_bonds(B59,C59,isin_list,historic_data))</f>
        <v>17.220143723685506</v>
      </c>
    </row>
    <row r="68" spans="3:4" x14ac:dyDescent="0.25">
      <c r="C68" t="s">
        <v>61</v>
      </c>
      <c r="D68" s="6">
        <f ca="1">INDEX(dl_spread_between_two_bonds(B59,C59,isin_list,historic_data),1,1)</f>
        <v>-24.117999999999995</v>
      </c>
    </row>
    <row r="69" spans="3:4" x14ac:dyDescent="0.25">
      <c r="C69" t="s">
        <v>59</v>
      </c>
      <c r="D69" s="6">
        <f ca="1">(D68-D63)/(D64-D63)*100</f>
        <v>67.496863404607495</v>
      </c>
    </row>
    <row r="70" spans="3:4" x14ac:dyDescent="0.25">
      <c r="C70" t="s">
        <v>60</v>
      </c>
      <c r="D70" s="5">
        <f ca="1">(D68-D65)/D66</f>
        <v>0.96286166626262903</v>
      </c>
    </row>
    <row r="72" spans="3:4" x14ac:dyDescent="0.25">
      <c r="C72" t="s">
        <v>62</v>
      </c>
      <c r="D72" s="6">
        <f ca="1">INDEX(dl_spread_between_two_bonds(B59,C59,isin_list,historic_data),1,2)</f>
        <v>-22.859000000000037</v>
      </c>
    </row>
    <row r="73" spans="3:4" x14ac:dyDescent="0.25">
      <c r="C73" t="s">
        <v>56</v>
      </c>
      <c r="D73" s="6">
        <f ca="1">INDEX(dl_spread_between_two_bonds(B59,C59,isin_list,historic_data),1,10)</f>
        <v>-30.410000000000025</v>
      </c>
    </row>
    <row r="75" spans="3:4" x14ac:dyDescent="0.25">
      <c r="C75" t="s">
        <v>64</v>
      </c>
      <c r="D75" cm="1">
        <f t="array" aca="1" ref="D75" ca="1">SUM(IF(ISNUMBER(dl_spread_between_two_bonds(B59,C59,isin_list,historic_data)),1,0))</f>
        <v>86</v>
      </c>
    </row>
    <row r="80" spans="3:4" ht="21.5" x14ac:dyDescent="0.55000000000000004">
      <c r="D80" s="8" t="s">
        <v>74</v>
      </c>
    </row>
    <row r="81" spans="3:260" x14ac:dyDescent="0.25">
      <c r="C81" t="s">
        <v>76</v>
      </c>
      <c r="D81" cm="1">
        <f t="array" aca="1" ref="D81:CK81" ca="1">_xlfn._xlws.FILTER(_xlfn.ANCHORARRAY(D27),_xlfn.ANCHORARRAY(D27)&lt;&gt;"-")</f>
        <v>-106.89699999999999</v>
      </c>
      <c r="E81">
        <f ca="1"/>
        <v>-105.72800000000001</v>
      </c>
      <c r="F81">
        <f ca="1"/>
        <v>-108.702</v>
      </c>
      <c r="G81">
        <f ca="1"/>
        <v>-100.24099999999999</v>
      </c>
      <c r="H81">
        <f ca="1"/>
        <v>-96.644999999999982</v>
      </c>
      <c r="I81">
        <f ca="1"/>
        <v>-93.233000000000004</v>
      </c>
      <c r="J81">
        <f ca="1"/>
        <v>-91.105999999999995</v>
      </c>
      <c r="K81">
        <f ca="1"/>
        <v>-88.737000000000023</v>
      </c>
      <c r="L81">
        <f ca="1"/>
        <v>-87.894999999999982</v>
      </c>
      <c r="M81">
        <f ca="1"/>
        <v>-90.355999999999995</v>
      </c>
      <c r="N81">
        <f ca="1"/>
        <v>-89.968999999999994</v>
      </c>
      <c r="O81">
        <f ca="1"/>
        <v>-91.546999999999969</v>
      </c>
      <c r="P81">
        <f ca="1"/>
        <v>-98.215000000000032</v>
      </c>
      <c r="Q81">
        <f ca="1"/>
        <v>-103.75999999999999</v>
      </c>
      <c r="R81">
        <f ca="1"/>
        <v>-106.25099999999998</v>
      </c>
      <c r="S81">
        <f ca="1"/>
        <v>-106.548</v>
      </c>
      <c r="T81">
        <f ca="1"/>
        <v>-106.66300000000001</v>
      </c>
      <c r="U81">
        <f ca="1"/>
        <v>-103.548</v>
      </c>
      <c r="V81">
        <f ca="1"/>
        <v>-108.05899999999997</v>
      </c>
      <c r="W81">
        <f ca="1"/>
        <v>-105.678</v>
      </c>
      <c r="X81">
        <f ca="1"/>
        <v>-89.622000000000014</v>
      </c>
      <c r="Y81">
        <f ca="1"/>
        <v>-100.23200000000003</v>
      </c>
      <c r="Z81">
        <f ca="1"/>
        <v>-100.524</v>
      </c>
      <c r="AA81">
        <f ca="1"/>
        <v>-96.27800000000002</v>
      </c>
      <c r="AB81">
        <f ca="1"/>
        <v>-90.449000000000012</v>
      </c>
      <c r="AC81">
        <f ca="1"/>
        <v>-87.963999999999999</v>
      </c>
      <c r="AD81">
        <f ca="1"/>
        <v>-92.185999999999979</v>
      </c>
      <c r="AE81">
        <f ca="1"/>
        <v>-94.360000000000014</v>
      </c>
      <c r="AF81">
        <f ca="1"/>
        <v>-97.826000000000022</v>
      </c>
      <c r="AG81">
        <f ca="1"/>
        <v>-104.84699999999998</v>
      </c>
      <c r="AH81">
        <f ca="1"/>
        <v>-107.339</v>
      </c>
      <c r="AI81">
        <f ca="1"/>
        <v>-108.78500000000003</v>
      </c>
      <c r="AJ81">
        <f ca="1"/>
        <v>-106.11399999999998</v>
      </c>
      <c r="AK81">
        <f ca="1"/>
        <v>-100.91999999999996</v>
      </c>
      <c r="AL81">
        <f ca="1"/>
        <v>-103.221</v>
      </c>
      <c r="AM81">
        <f ca="1"/>
        <v>-104.86899999999997</v>
      </c>
      <c r="AN81">
        <f ca="1"/>
        <v>-102.12299999999999</v>
      </c>
      <c r="AO81">
        <f ca="1"/>
        <v>-104.34799999999996</v>
      </c>
      <c r="AP81">
        <f ca="1"/>
        <v>-102.56400000000002</v>
      </c>
      <c r="AQ81">
        <f ca="1"/>
        <v>-98.386000000000024</v>
      </c>
      <c r="AR81">
        <f ca="1"/>
        <v>-101.68399999999997</v>
      </c>
      <c r="AS81">
        <f ca="1"/>
        <v>-109.363</v>
      </c>
      <c r="AT81">
        <f ca="1"/>
        <v>-113.834</v>
      </c>
      <c r="AU81">
        <f ca="1"/>
        <v>-117.86099999999999</v>
      </c>
      <c r="AV81">
        <f ca="1"/>
        <v>-118.26700000000005</v>
      </c>
      <c r="AW81">
        <f ca="1"/>
        <v>-118.53700000000003</v>
      </c>
      <c r="AX81">
        <f ca="1"/>
        <v>-111.69</v>
      </c>
      <c r="AY81">
        <f ca="1"/>
        <v>-112.00599999999997</v>
      </c>
      <c r="AZ81">
        <f ca="1"/>
        <v>-110.49700000000001</v>
      </c>
      <c r="BA81">
        <f ca="1"/>
        <v>-108.47600000000006</v>
      </c>
      <c r="BB81">
        <f ca="1"/>
        <v>-113.37799999999999</v>
      </c>
      <c r="BC81">
        <f ca="1"/>
        <v>-116.93</v>
      </c>
      <c r="BD81">
        <f ca="1"/>
        <v>-122.69599999999997</v>
      </c>
      <c r="BE81">
        <f ca="1"/>
        <v>-126.60500000000002</v>
      </c>
      <c r="BF81">
        <f ca="1"/>
        <v>-113.70500000000004</v>
      </c>
      <c r="BG81">
        <f ca="1"/>
        <v>-105.63599999999997</v>
      </c>
      <c r="BH81">
        <f ca="1"/>
        <v>-101.351</v>
      </c>
      <c r="BI81">
        <f ca="1"/>
        <v>-106.45699999999999</v>
      </c>
      <c r="BJ81">
        <f ca="1"/>
        <v>-104.827</v>
      </c>
      <c r="BK81">
        <f ca="1"/>
        <v>-101.74700000000001</v>
      </c>
      <c r="BL81">
        <f ca="1"/>
        <v>-103.72500000000002</v>
      </c>
      <c r="BM81">
        <f ca="1"/>
        <v>-99.757999999999981</v>
      </c>
      <c r="BN81">
        <f ca="1"/>
        <v>-97.265999999999963</v>
      </c>
      <c r="BO81">
        <f ca="1"/>
        <v>-93.997000000000014</v>
      </c>
      <c r="BP81">
        <f ca="1"/>
        <v>-96.430999999999983</v>
      </c>
      <c r="BQ81">
        <f ca="1"/>
        <v>-98.740999999999985</v>
      </c>
      <c r="BR81">
        <f ca="1"/>
        <v>-97.165999999999997</v>
      </c>
      <c r="BS81">
        <f ca="1"/>
        <v>-98.948999999999955</v>
      </c>
      <c r="BT81">
        <f ca="1"/>
        <v>-96.455000000000041</v>
      </c>
      <c r="BU81">
        <f ca="1"/>
        <v>-91.317000000000007</v>
      </c>
      <c r="BV81">
        <f ca="1"/>
        <v>-90.40500000000003</v>
      </c>
      <c r="BW81">
        <f ca="1"/>
        <v>-89.642999999999972</v>
      </c>
      <c r="BX81">
        <f ca="1"/>
        <v>-91.23399999999998</v>
      </c>
      <c r="BY81">
        <f ca="1"/>
        <v>-91.133000000000038</v>
      </c>
      <c r="BZ81">
        <f ca="1"/>
        <v>-95.885999999999967</v>
      </c>
      <c r="CA81">
        <f ca="1"/>
        <v>-97.614000000000033</v>
      </c>
      <c r="CB81">
        <f ca="1"/>
        <v>-96.180999999999983</v>
      </c>
      <c r="CC81">
        <f ca="1"/>
        <v>-98.031000000000006</v>
      </c>
      <c r="CD81">
        <f ca="1"/>
        <v>-91.100000000000023</v>
      </c>
      <c r="CE81">
        <f ca="1"/>
        <v>-79.714999999999975</v>
      </c>
      <c r="CF81">
        <f ca="1"/>
        <v>-76.88900000000001</v>
      </c>
      <c r="CG81">
        <f ca="1"/>
        <v>-70.476999999999975</v>
      </c>
      <c r="CH81">
        <f ca="1"/>
        <v>-67.049000000000035</v>
      </c>
      <c r="CI81">
        <f ca="1"/>
        <v>-64.761000000000024</v>
      </c>
      <c r="CJ81">
        <f ca="1"/>
        <v>-64.87299999999999</v>
      </c>
      <c r="CK81">
        <f ca="1"/>
        <v>-66.524000000000001</v>
      </c>
    </row>
    <row r="83" spans="3:260" x14ac:dyDescent="0.25">
      <c r="C83" t="s">
        <v>77</v>
      </c>
    </row>
    <row r="84" spans="3:260" x14ac:dyDescent="0.25">
      <c r="C84" s="7">
        <v>20</v>
      </c>
      <c r="D84" cm="1">
        <f t="array" aca="1" ref="D84:V84" ca="1">_xlfn._xlws.FILTER(_xlfn.ANCHORARRAY(D27),dl_Get_Hist("numbers",isin_list,historic_data)&lt;C84)</f>
        <v>-106.89699999999999</v>
      </c>
      <c r="E84">
        <f ca="1"/>
        <v>-105.72800000000001</v>
      </c>
      <c r="F84">
        <f ca="1"/>
        <v>-108.702</v>
      </c>
      <c r="G84">
        <f ca="1"/>
        <v>-100.24099999999999</v>
      </c>
      <c r="H84">
        <f ca="1"/>
        <v>-96.644999999999982</v>
      </c>
      <c r="I84">
        <f ca="1"/>
        <v>-93.233000000000004</v>
      </c>
      <c r="J84">
        <f ca="1"/>
        <v>-91.105999999999995</v>
      </c>
      <c r="K84">
        <f ca="1"/>
        <v>-88.737000000000023</v>
      </c>
      <c r="L84">
        <f ca="1"/>
        <v>-87.894999999999982</v>
      </c>
      <c r="M84">
        <f ca="1"/>
        <v>-90.355999999999995</v>
      </c>
      <c r="N84">
        <f ca="1"/>
        <v>-89.968999999999994</v>
      </c>
      <c r="O84">
        <f ca="1"/>
        <v>-91.546999999999969</v>
      </c>
      <c r="P84">
        <f ca="1"/>
        <v>-98.215000000000032</v>
      </c>
      <c r="Q84">
        <f ca="1"/>
        <v>-103.75999999999999</v>
      </c>
      <c r="R84">
        <f ca="1"/>
        <v>-106.25099999999998</v>
      </c>
      <c r="S84">
        <f ca="1"/>
        <v>-106.548</v>
      </c>
      <c r="T84">
        <f ca="1"/>
        <v>-106.66300000000001</v>
      </c>
      <c r="U84">
        <f ca="1"/>
        <v>-103.548</v>
      </c>
      <c r="V84">
        <f ca="1"/>
        <v>-108.05899999999997</v>
      </c>
    </row>
    <row r="85" spans="3:260" x14ac:dyDescent="0.25">
      <c r="C85">
        <v>20</v>
      </c>
      <c r="D85" cm="1">
        <f t="array" aca="1" ref="D85:V85" ca="1">_xlfn._xlws.FILTER(dl_spread_between_two_bonds(B27,C27,isin_list,historic_data),dl_Get_Hist("numbers",isin_list,historic_data)&lt;C85)</f>
        <v>-106.89699999999999</v>
      </c>
      <c r="E85">
        <f ca="1"/>
        <v>-105.72800000000001</v>
      </c>
      <c r="F85">
        <f ca="1"/>
        <v>-108.702</v>
      </c>
      <c r="G85">
        <f ca="1"/>
        <v>-100.24099999999999</v>
      </c>
      <c r="H85">
        <f ca="1"/>
        <v>-96.644999999999982</v>
      </c>
      <c r="I85">
        <f ca="1"/>
        <v>-93.233000000000004</v>
      </c>
      <c r="J85">
        <f ca="1"/>
        <v>-91.105999999999995</v>
      </c>
      <c r="K85">
        <f ca="1"/>
        <v>-88.737000000000023</v>
      </c>
      <c r="L85">
        <f ca="1"/>
        <v>-87.894999999999982</v>
      </c>
      <c r="M85">
        <f ca="1"/>
        <v>-90.355999999999995</v>
      </c>
      <c r="N85">
        <f ca="1"/>
        <v>-89.968999999999994</v>
      </c>
      <c r="O85">
        <f ca="1"/>
        <v>-91.546999999999969</v>
      </c>
      <c r="P85">
        <f ca="1"/>
        <v>-98.215000000000032</v>
      </c>
      <c r="Q85">
        <f ca="1"/>
        <v>-103.75999999999999</v>
      </c>
      <c r="R85">
        <f ca="1"/>
        <v>-106.25099999999998</v>
      </c>
      <c r="S85">
        <f ca="1"/>
        <v>-106.548</v>
      </c>
      <c r="T85">
        <f ca="1"/>
        <v>-106.66300000000001</v>
      </c>
      <c r="U85">
        <f ca="1"/>
        <v>-103.548</v>
      </c>
      <c r="V85">
        <f ca="1"/>
        <v>-108.05899999999997</v>
      </c>
    </row>
    <row r="86" spans="3:260" x14ac:dyDescent="0.25">
      <c r="D86" cm="1">
        <f t="array" aca="1" ref="D86:IZ86" ca="1">dl_spread_between_two_bonds(B27,C27,isin_list,historic_data)</f>
        <v>-106.89699999999999</v>
      </c>
      <c r="E86">
        <f ca="1"/>
        <v>-105.72800000000001</v>
      </c>
      <c r="F86">
        <f ca="1"/>
        <v>-108.702</v>
      </c>
      <c r="G86">
        <f ca="1"/>
        <v>-100.24099999999999</v>
      </c>
      <c r="H86">
        <f ca="1"/>
        <v>-96.644999999999982</v>
      </c>
      <c r="I86">
        <f ca="1"/>
        <v>-93.233000000000004</v>
      </c>
      <c r="J86">
        <f ca="1"/>
        <v>-91.105999999999995</v>
      </c>
      <c r="K86">
        <f ca="1"/>
        <v>-88.737000000000023</v>
      </c>
      <c r="L86">
        <f ca="1"/>
        <v>-87.894999999999982</v>
      </c>
      <c r="M86">
        <f ca="1"/>
        <v>-90.355999999999995</v>
      </c>
      <c r="N86">
        <f ca="1"/>
        <v>-89.968999999999994</v>
      </c>
      <c r="O86">
        <f ca="1"/>
        <v>-91.546999999999969</v>
      </c>
      <c r="P86">
        <f ca="1"/>
        <v>-98.215000000000032</v>
      </c>
      <c r="Q86">
        <f ca="1"/>
        <v>-103.75999999999999</v>
      </c>
      <c r="R86">
        <f ca="1"/>
        <v>-106.25099999999998</v>
      </c>
      <c r="S86">
        <f ca="1"/>
        <v>-106.548</v>
      </c>
      <c r="T86">
        <f ca="1"/>
        <v>-106.66300000000001</v>
      </c>
      <c r="U86">
        <f ca="1"/>
        <v>-103.548</v>
      </c>
      <c r="V86">
        <f ca="1"/>
        <v>-108.05899999999997</v>
      </c>
      <c r="W86">
        <f ca="1"/>
        <v>-105.678</v>
      </c>
      <c r="X86">
        <f ca="1"/>
        <v>-89.622000000000014</v>
      </c>
      <c r="Y86">
        <f ca="1"/>
        <v>-100.23200000000003</v>
      </c>
      <c r="Z86">
        <f ca="1"/>
        <v>-100.524</v>
      </c>
      <c r="AA86">
        <f ca="1"/>
        <v>-96.27800000000002</v>
      </c>
      <c r="AB86">
        <f ca="1"/>
        <v>-90.449000000000012</v>
      </c>
      <c r="AC86">
        <f ca="1"/>
        <v>-87.963999999999999</v>
      </c>
      <c r="AD86">
        <f ca="1"/>
        <v>-92.185999999999979</v>
      </c>
      <c r="AE86">
        <f ca="1"/>
        <v>-94.360000000000014</v>
      </c>
      <c r="AF86">
        <f ca="1"/>
        <v>-97.826000000000022</v>
      </c>
      <c r="AG86">
        <f ca="1"/>
        <v>-104.84699999999998</v>
      </c>
      <c r="AH86">
        <f ca="1"/>
        <v>-107.339</v>
      </c>
      <c r="AI86">
        <f ca="1"/>
        <v>-108.78500000000003</v>
      </c>
      <c r="AJ86">
        <f ca="1"/>
        <v>-106.11399999999998</v>
      </c>
      <c r="AK86">
        <f ca="1"/>
        <v>-100.91999999999996</v>
      </c>
      <c r="AL86">
        <f ca="1"/>
        <v>-103.221</v>
      </c>
      <c r="AM86">
        <f ca="1"/>
        <v>-104.86899999999997</v>
      </c>
      <c r="AN86">
        <f ca="1"/>
        <v>-102.12299999999999</v>
      </c>
      <c r="AO86">
        <f ca="1"/>
        <v>-104.34799999999996</v>
      </c>
      <c r="AP86">
        <f ca="1"/>
        <v>-102.56400000000002</v>
      </c>
      <c r="AQ86">
        <f ca="1"/>
        <v>-98.386000000000024</v>
      </c>
      <c r="AR86">
        <f ca="1"/>
        <v>-101.68399999999997</v>
      </c>
      <c r="AS86">
        <f ca="1"/>
        <v>-109.363</v>
      </c>
      <c r="AT86">
        <f ca="1"/>
        <v>-113.834</v>
      </c>
      <c r="AU86">
        <f ca="1"/>
        <v>-117.86099999999999</v>
      </c>
      <c r="AV86">
        <f ca="1"/>
        <v>-118.26700000000005</v>
      </c>
      <c r="AW86">
        <f ca="1"/>
        <v>-118.53700000000003</v>
      </c>
      <c r="AX86">
        <f ca="1"/>
        <v>-111.69</v>
      </c>
      <c r="AY86">
        <f ca="1"/>
        <v>-112.00599999999997</v>
      </c>
      <c r="AZ86">
        <f ca="1"/>
        <v>-110.49700000000001</v>
      </c>
      <c r="BA86">
        <f ca="1"/>
        <v>-108.47600000000006</v>
      </c>
      <c r="BB86">
        <f ca="1"/>
        <v>-113.37799999999999</v>
      </c>
      <c r="BC86">
        <f ca="1"/>
        <v>-116.93</v>
      </c>
      <c r="BD86">
        <f ca="1"/>
        <v>-122.69599999999997</v>
      </c>
      <c r="BE86">
        <f ca="1"/>
        <v>-126.60500000000002</v>
      </c>
      <c r="BF86">
        <f ca="1"/>
        <v>-113.70500000000004</v>
      </c>
      <c r="BG86">
        <f ca="1"/>
        <v>-105.63599999999997</v>
      </c>
      <c r="BH86">
        <f ca="1"/>
        <v>-101.351</v>
      </c>
      <c r="BI86">
        <f ca="1"/>
        <v>-106.45699999999999</v>
      </c>
      <c r="BJ86">
        <f ca="1"/>
        <v>-104.827</v>
      </c>
      <c r="BK86">
        <f ca="1"/>
        <v>-101.74700000000001</v>
      </c>
      <c r="BL86">
        <f ca="1"/>
        <v>-103.72500000000002</v>
      </c>
      <c r="BM86">
        <f ca="1"/>
        <v>-99.757999999999981</v>
      </c>
      <c r="BN86">
        <f ca="1"/>
        <v>-97.265999999999963</v>
      </c>
      <c r="BO86">
        <f ca="1"/>
        <v>-93.997000000000014</v>
      </c>
      <c r="BP86">
        <f ca="1"/>
        <v>-96.430999999999983</v>
      </c>
      <c r="BQ86">
        <f ca="1"/>
        <v>-98.740999999999985</v>
      </c>
      <c r="BR86">
        <f ca="1"/>
        <v>-97.165999999999997</v>
      </c>
      <c r="BS86">
        <f ca="1"/>
        <v>-98.948999999999955</v>
      </c>
      <c r="BT86">
        <f ca="1"/>
        <v>-96.455000000000041</v>
      </c>
      <c r="BU86">
        <f ca="1"/>
        <v>-91.317000000000007</v>
      </c>
      <c r="BV86">
        <f ca="1"/>
        <v>-90.40500000000003</v>
      </c>
      <c r="BW86">
        <f ca="1"/>
        <v>-89.642999999999972</v>
      </c>
      <c r="BX86">
        <f ca="1"/>
        <v>-91.23399999999998</v>
      </c>
      <c r="BY86">
        <f ca="1"/>
        <v>-91.133000000000038</v>
      </c>
      <c r="BZ86">
        <f ca="1"/>
        <v>-95.885999999999967</v>
      </c>
      <c r="CA86">
        <f ca="1"/>
        <v>-97.614000000000033</v>
      </c>
      <c r="CB86">
        <f ca="1"/>
        <v>-96.180999999999983</v>
      </c>
      <c r="CC86">
        <f ca="1"/>
        <v>-98.031000000000006</v>
      </c>
      <c r="CD86">
        <f ca="1"/>
        <v>-91.100000000000023</v>
      </c>
      <c r="CE86">
        <f ca="1"/>
        <v>-79.714999999999975</v>
      </c>
      <c r="CF86">
        <f ca="1"/>
        <v>-76.88900000000001</v>
      </c>
      <c r="CG86">
        <f ca="1"/>
        <v>-70.476999999999975</v>
      </c>
      <c r="CH86">
        <f ca="1"/>
        <v>-67.049000000000035</v>
      </c>
      <c r="CI86">
        <f ca="1"/>
        <v>-64.761000000000024</v>
      </c>
      <c r="CJ86">
        <f ca="1"/>
        <v>-64.87299999999999</v>
      </c>
      <c r="CK86">
        <f ca="1"/>
        <v>-66.524000000000001</v>
      </c>
      <c r="CL86" t="str">
        <f ca="1"/>
        <v>-</v>
      </c>
      <c r="CM86" t="str">
        <f ca="1"/>
        <v>-</v>
      </c>
      <c r="CN86" t="str">
        <f ca="1"/>
        <v>-</v>
      </c>
      <c r="CO86" t="str">
        <f ca="1"/>
        <v>-</v>
      </c>
      <c r="CP86" t="str">
        <f ca="1"/>
        <v>-</v>
      </c>
      <c r="CQ86" t="str">
        <f ca="1"/>
        <v>-</v>
      </c>
      <c r="CR86" t="str">
        <f ca="1"/>
        <v>-</v>
      </c>
      <c r="CS86" t="str">
        <f ca="1"/>
        <v>-</v>
      </c>
      <c r="CT86" t="str">
        <f ca="1"/>
        <v>-</v>
      </c>
      <c r="CU86" t="str">
        <f ca="1"/>
        <v>-</v>
      </c>
      <c r="CV86" t="str">
        <f ca="1"/>
        <v>-</v>
      </c>
      <c r="CW86" t="str">
        <f ca="1"/>
        <v>-</v>
      </c>
      <c r="CX86" t="str">
        <f ca="1"/>
        <v>-</v>
      </c>
      <c r="CY86" t="str">
        <f ca="1"/>
        <v>-</v>
      </c>
      <c r="CZ86" t="str">
        <f ca="1"/>
        <v>-</v>
      </c>
      <c r="DA86" t="str">
        <f ca="1"/>
        <v>-</v>
      </c>
      <c r="DB86" t="str">
        <f ca="1"/>
        <v>-</v>
      </c>
      <c r="DC86" t="str">
        <f ca="1"/>
        <v>-</v>
      </c>
      <c r="DD86" t="str">
        <f ca="1"/>
        <v>-</v>
      </c>
      <c r="DE86" t="str">
        <f ca="1"/>
        <v>-</v>
      </c>
      <c r="DF86" t="str">
        <f ca="1"/>
        <v>-</v>
      </c>
      <c r="DG86" t="str">
        <f ca="1"/>
        <v>-</v>
      </c>
      <c r="DH86" t="str">
        <f ca="1"/>
        <v>-</v>
      </c>
      <c r="DI86" t="str">
        <f ca="1"/>
        <v>-</v>
      </c>
      <c r="DJ86" t="str">
        <f ca="1"/>
        <v>-</v>
      </c>
      <c r="DK86" t="str">
        <f ca="1"/>
        <v>-</v>
      </c>
      <c r="DL86" t="str">
        <f ca="1"/>
        <v>-</v>
      </c>
      <c r="DM86" t="str">
        <f ca="1"/>
        <v>-</v>
      </c>
      <c r="DN86" t="str">
        <f ca="1"/>
        <v>-</v>
      </c>
      <c r="DO86" t="str">
        <f ca="1"/>
        <v>-</v>
      </c>
      <c r="DP86" t="str">
        <f ca="1"/>
        <v>-</v>
      </c>
      <c r="DQ86" t="str">
        <f ca="1"/>
        <v>-</v>
      </c>
      <c r="DR86" t="str">
        <f ca="1"/>
        <v>-</v>
      </c>
      <c r="DS86" t="str">
        <f ca="1"/>
        <v>-</v>
      </c>
      <c r="DT86" t="str">
        <f ca="1"/>
        <v>-</v>
      </c>
      <c r="DU86" t="str">
        <f ca="1"/>
        <v>-</v>
      </c>
      <c r="DV86" t="str">
        <f ca="1"/>
        <v>-</v>
      </c>
      <c r="DW86" t="str">
        <f ca="1"/>
        <v>-</v>
      </c>
      <c r="DX86" t="str">
        <f ca="1"/>
        <v>-</v>
      </c>
      <c r="DY86" t="str">
        <f ca="1"/>
        <v>-</v>
      </c>
      <c r="DZ86" t="str">
        <f ca="1"/>
        <v>-</v>
      </c>
      <c r="EA86" t="str">
        <f ca="1"/>
        <v>-</v>
      </c>
      <c r="EB86" t="str">
        <f ca="1"/>
        <v>-</v>
      </c>
      <c r="EC86" t="str">
        <f ca="1"/>
        <v>-</v>
      </c>
      <c r="ED86" t="str">
        <f ca="1"/>
        <v>-</v>
      </c>
      <c r="EE86" t="str">
        <f ca="1"/>
        <v>-</v>
      </c>
      <c r="EF86" t="str">
        <f ca="1"/>
        <v>-</v>
      </c>
      <c r="EG86" t="str">
        <f ca="1"/>
        <v>-</v>
      </c>
      <c r="EH86" t="str">
        <f ca="1"/>
        <v>-</v>
      </c>
      <c r="EI86" t="str">
        <f ca="1"/>
        <v>-</v>
      </c>
      <c r="EJ86" t="str">
        <f ca="1"/>
        <v>-</v>
      </c>
      <c r="EK86" t="str">
        <f ca="1"/>
        <v>-</v>
      </c>
      <c r="EL86" t="str">
        <f ca="1"/>
        <v>-</v>
      </c>
      <c r="EM86" t="str">
        <f ca="1"/>
        <v>-</v>
      </c>
      <c r="EN86" t="str">
        <f ca="1"/>
        <v>-</v>
      </c>
      <c r="EO86" t="str">
        <f ca="1"/>
        <v>-</v>
      </c>
      <c r="EP86" t="str">
        <f ca="1"/>
        <v>-</v>
      </c>
      <c r="EQ86" t="str">
        <f ca="1"/>
        <v>-</v>
      </c>
      <c r="ER86" t="str">
        <f ca="1"/>
        <v>-</v>
      </c>
      <c r="ES86" t="str">
        <f ca="1"/>
        <v>-</v>
      </c>
      <c r="ET86" t="str">
        <f ca="1"/>
        <v>-</v>
      </c>
      <c r="EU86" t="str">
        <f ca="1"/>
        <v>-</v>
      </c>
      <c r="EV86" t="str">
        <f ca="1"/>
        <v>-</v>
      </c>
      <c r="EW86" t="str">
        <f ca="1"/>
        <v>-</v>
      </c>
      <c r="EX86" t="str">
        <f ca="1"/>
        <v>-</v>
      </c>
      <c r="EY86" t="str">
        <f ca="1"/>
        <v>-</v>
      </c>
      <c r="EZ86" t="str">
        <f ca="1"/>
        <v>-</v>
      </c>
      <c r="FA86" t="str">
        <f ca="1"/>
        <v>-</v>
      </c>
      <c r="FB86" t="str">
        <f ca="1"/>
        <v>-</v>
      </c>
      <c r="FC86" t="str">
        <f ca="1"/>
        <v>-</v>
      </c>
      <c r="FD86" t="str">
        <f ca="1"/>
        <v>-</v>
      </c>
      <c r="FE86" t="str">
        <f ca="1"/>
        <v>-</v>
      </c>
      <c r="FF86" t="str">
        <f ca="1"/>
        <v>-</v>
      </c>
      <c r="FG86" t="str">
        <f ca="1"/>
        <v>-</v>
      </c>
      <c r="FH86" t="str">
        <f ca="1"/>
        <v>-</v>
      </c>
      <c r="FI86" t="str">
        <f ca="1"/>
        <v>-</v>
      </c>
      <c r="FJ86" t="str">
        <f ca="1"/>
        <v>-</v>
      </c>
      <c r="FK86" t="str">
        <f ca="1"/>
        <v>-</v>
      </c>
      <c r="FL86" t="str">
        <f ca="1"/>
        <v>-</v>
      </c>
      <c r="FM86" t="str">
        <f ca="1"/>
        <v>-</v>
      </c>
      <c r="FN86" t="str">
        <f ca="1"/>
        <v>-</v>
      </c>
      <c r="FO86" t="str">
        <f ca="1"/>
        <v>-</v>
      </c>
      <c r="FP86" t="str">
        <f ca="1"/>
        <v>-</v>
      </c>
      <c r="FQ86" t="str">
        <f ca="1"/>
        <v>-</v>
      </c>
      <c r="FR86" t="str">
        <f ca="1"/>
        <v>-</v>
      </c>
      <c r="FS86" t="str">
        <f ca="1"/>
        <v>-</v>
      </c>
      <c r="FT86" t="str">
        <f ca="1"/>
        <v>-</v>
      </c>
      <c r="FU86" t="str">
        <f ca="1"/>
        <v>-</v>
      </c>
      <c r="FV86" t="str">
        <f ca="1"/>
        <v>-</v>
      </c>
      <c r="FW86" t="str">
        <f ca="1"/>
        <v>-</v>
      </c>
      <c r="FX86" t="str">
        <f ca="1"/>
        <v>-</v>
      </c>
      <c r="FY86" t="str">
        <f ca="1"/>
        <v>-</v>
      </c>
      <c r="FZ86" t="str">
        <f ca="1"/>
        <v>-</v>
      </c>
      <c r="GA86" t="str">
        <f ca="1"/>
        <v>-</v>
      </c>
      <c r="GB86" t="str">
        <f ca="1"/>
        <v>-</v>
      </c>
      <c r="GC86" t="str">
        <f ca="1"/>
        <v>-</v>
      </c>
      <c r="GD86" t="str">
        <f ca="1"/>
        <v>-</v>
      </c>
      <c r="GE86" t="str">
        <f ca="1"/>
        <v>-</v>
      </c>
      <c r="GF86" t="str">
        <f ca="1"/>
        <v>-</v>
      </c>
      <c r="GG86" t="str">
        <f ca="1"/>
        <v>-</v>
      </c>
      <c r="GH86" t="str">
        <f ca="1"/>
        <v>-</v>
      </c>
      <c r="GI86" t="str">
        <f ca="1"/>
        <v>-</v>
      </c>
      <c r="GJ86" t="str">
        <f ca="1"/>
        <v>-</v>
      </c>
      <c r="GK86" t="str">
        <f ca="1"/>
        <v>-</v>
      </c>
      <c r="GL86" t="str">
        <f ca="1"/>
        <v>-</v>
      </c>
      <c r="GM86" t="str">
        <f ca="1"/>
        <v>-</v>
      </c>
      <c r="GN86" t="str">
        <f ca="1"/>
        <v>-</v>
      </c>
      <c r="GO86" t="str">
        <f ca="1"/>
        <v>-</v>
      </c>
      <c r="GP86" t="str">
        <f ca="1"/>
        <v>-</v>
      </c>
      <c r="GQ86" t="str">
        <f ca="1"/>
        <v>-</v>
      </c>
      <c r="GR86" t="str">
        <f ca="1"/>
        <v>-</v>
      </c>
      <c r="GS86" t="str">
        <f ca="1"/>
        <v>-</v>
      </c>
      <c r="GT86" t="str">
        <f ca="1"/>
        <v>-</v>
      </c>
      <c r="GU86" t="str">
        <f ca="1"/>
        <v>-</v>
      </c>
      <c r="GV86" t="str">
        <f ca="1"/>
        <v>-</v>
      </c>
      <c r="GW86" t="str">
        <f ca="1"/>
        <v>-</v>
      </c>
      <c r="GX86" t="str">
        <f ca="1"/>
        <v>-</v>
      </c>
      <c r="GY86" t="str">
        <f ca="1"/>
        <v>-</v>
      </c>
      <c r="GZ86" t="str">
        <f ca="1"/>
        <v>-</v>
      </c>
      <c r="HA86" t="str">
        <f ca="1"/>
        <v>-</v>
      </c>
      <c r="HB86" t="str">
        <f ca="1"/>
        <v>-</v>
      </c>
      <c r="HC86" t="str">
        <f ca="1"/>
        <v>-</v>
      </c>
      <c r="HD86" t="str">
        <f ca="1"/>
        <v>-</v>
      </c>
      <c r="HE86" t="str">
        <f ca="1"/>
        <v>-</v>
      </c>
      <c r="HF86" t="str">
        <f ca="1"/>
        <v>-</v>
      </c>
      <c r="HG86" t="str">
        <f ca="1"/>
        <v>-</v>
      </c>
      <c r="HH86" t="str">
        <f ca="1"/>
        <v>-</v>
      </c>
      <c r="HI86" t="str">
        <f ca="1"/>
        <v>-</v>
      </c>
      <c r="HJ86" t="str">
        <f ca="1"/>
        <v>-</v>
      </c>
      <c r="HK86" t="str">
        <f ca="1"/>
        <v>-</v>
      </c>
      <c r="HL86" t="str">
        <f ca="1"/>
        <v>-</v>
      </c>
      <c r="HM86" t="str">
        <f ca="1"/>
        <v>-</v>
      </c>
      <c r="HN86" t="str">
        <f ca="1"/>
        <v>-</v>
      </c>
      <c r="HO86" t="str">
        <f ca="1"/>
        <v>-</v>
      </c>
      <c r="HP86" t="str">
        <f ca="1"/>
        <v>-</v>
      </c>
      <c r="HQ86" t="str">
        <f ca="1"/>
        <v>-</v>
      </c>
      <c r="HR86" t="str">
        <f ca="1"/>
        <v>-</v>
      </c>
      <c r="HS86" t="str">
        <f ca="1"/>
        <v>-</v>
      </c>
      <c r="HT86" t="str">
        <f ca="1"/>
        <v>-</v>
      </c>
      <c r="HU86" t="str">
        <f ca="1"/>
        <v>-</v>
      </c>
      <c r="HV86" t="str">
        <f ca="1"/>
        <v>-</v>
      </c>
      <c r="HW86" t="str">
        <f ca="1"/>
        <v>-</v>
      </c>
      <c r="HX86" t="str">
        <f ca="1"/>
        <v>-</v>
      </c>
      <c r="HY86" t="str">
        <f ca="1"/>
        <v>-</v>
      </c>
      <c r="HZ86" t="str">
        <f ca="1"/>
        <v>-</v>
      </c>
      <c r="IA86" t="str">
        <f ca="1"/>
        <v>-</v>
      </c>
      <c r="IB86" t="str">
        <f ca="1"/>
        <v>-</v>
      </c>
      <c r="IC86" t="str">
        <f ca="1"/>
        <v>-</v>
      </c>
      <c r="ID86" t="str">
        <f ca="1"/>
        <v>-</v>
      </c>
      <c r="IE86" t="str">
        <f ca="1"/>
        <v>-</v>
      </c>
      <c r="IF86" t="str">
        <f ca="1"/>
        <v>-</v>
      </c>
      <c r="IG86" t="str">
        <f ca="1"/>
        <v>-</v>
      </c>
      <c r="IH86" t="str">
        <f ca="1"/>
        <v>-</v>
      </c>
      <c r="II86" t="str">
        <f ca="1"/>
        <v>-</v>
      </c>
      <c r="IJ86" t="str">
        <f ca="1"/>
        <v>-</v>
      </c>
      <c r="IK86" t="str">
        <f ca="1"/>
        <v>-</v>
      </c>
      <c r="IL86" t="str">
        <f ca="1"/>
        <v>-</v>
      </c>
      <c r="IM86" t="str">
        <f ca="1"/>
        <v>-</v>
      </c>
      <c r="IN86" t="str">
        <f ca="1"/>
        <v>-</v>
      </c>
      <c r="IO86" t="str">
        <f ca="1"/>
        <v>-</v>
      </c>
      <c r="IP86" t="str">
        <f ca="1"/>
        <v>-</v>
      </c>
      <c r="IQ86" t="str">
        <f ca="1"/>
        <v>-</v>
      </c>
      <c r="IR86" t="str">
        <f ca="1"/>
        <v>-</v>
      </c>
      <c r="IS86" t="str">
        <f ca="1"/>
        <v>-</v>
      </c>
      <c r="IT86" t="str">
        <f ca="1"/>
        <v>-</v>
      </c>
      <c r="IU86" t="str">
        <f ca="1"/>
        <v>-</v>
      </c>
      <c r="IV86" t="str">
        <f ca="1"/>
        <v>-</v>
      </c>
      <c r="IW86" t="str">
        <f ca="1"/>
        <v>-</v>
      </c>
      <c r="IX86" t="str">
        <f ca="1"/>
        <v>-</v>
      </c>
      <c r="IY86" t="str">
        <f ca="1"/>
        <v>-</v>
      </c>
      <c r="IZ86" t="str">
        <f ca="1"/>
        <v>-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850EA-8AF3-4D22-97A5-40A5F5A98AA2}">
  <sheetPr codeName="Sheet2">
    <tabColor rgb="FF0070C0"/>
  </sheetPr>
  <dimension ref="A1:JD67"/>
  <sheetViews>
    <sheetView workbookViewId="0">
      <selection activeCell="A2" sqref="A2"/>
    </sheetView>
  </sheetViews>
  <sheetFormatPr defaultRowHeight="10.5" x14ac:dyDescent="0.25"/>
  <cols>
    <col min="1" max="1" width="23.19921875" bestFit="1" customWidth="1"/>
    <col min="4" max="4" width="15" bestFit="1" customWidth="1"/>
    <col min="5" max="5" width="15" customWidth="1"/>
    <col min="6" max="6" width="18.09765625" bestFit="1" customWidth="1"/>
    <col min="7" max="38" width="10.8984375" bestFit="1" customWidth="1"/>
  </cols>
  <sheetData>
    <row r="1" spans="1:264" x14ac:dyDescent="0.25">
      <c r="A1" t="s">
        <v>0</v>
      </c>
      <c r="B1" t="s">
        <v>33</v>
      </c>
      <c r="C1" t="s">
        <v>35</v>
      </c>
      <c r="D1" t="s">
        <v>42</v>
      </c>
      <c r="E1" t="s">
        <v>57</v>
      </c>
      <c r="F1" t="s">
        <v>36</v>
      </c>
      <c r="JD1" t="s">
        <v>45</v>
      </c>
    </row>
    <row r="2" spans="1:264" x14ac:dyDescent="0.25">
      <c r="A2" s="4" t="s">
        <v>75</v>
      </c>
      <c r="F2" t="s">
        <v>41</v>
      </c>
      <c r="G2" s="1">
        <v>1</v>
      </c>
      <c r="H2" s="1">
        <f>G2+1</f>
        <v>2</v>
      </c>
      <c r="I2" s="1">
        <f t="shared" ref="I2:BT2" si="0">H2+1</f>
        <v>3</v>
      </c>
      <c r="J2" s="1">
        <f t="shared" si="0"/>
        <v>4</v>
      </c>
      <c r="K2" s="1">
        <f t="shared" si="0"/>
        <v>5</v>
      </c>
      <c r="L2" s="1">
        <f t="shared" si="0"/>
        <v>6</v>
      </c>
      <c r="M2" s="1">
        <f t="shared" si="0"/>
        <v>7</v>
      </c>
      <c r="N2" s="1">
        <f t="shared" si="0"/>
        <v>8</v>
      </c>
      <c r="O2" s="1">
        <f t="shared" si="0"/>
        <v>9</v>
      </c>
      <c r="P2" s="1">
        <f t="shared" si="0"/>
        <v>10</v>
      </c>
      <c r="Q2" s="1">
        <f t="shared" si="0"/>
        <v>11</v>
      </c>
      <c r="R2" s="1">
        <f t="shared" si="0"/>
        <v>12</v>
      </c>
      <c r="S2" s="1">
        <f t="shared" si="0"/>
        <v>13</v>
      </c>
      <c r="T2" s="1">
        <f t="shared" si="0"/>
        <v>14</v>
      </c>
      <c r="U2" s="1">
        <f t="shared" si="0"/>
        <v>15</v>
      </c>
      <c r="V2" s="1">
        <f t="shared" si="0"/>
        <v>16</v>
      </c>
      <c r="W2" s="1">
        <f t="shared" si="0"/>
        <v>17</v>
      </c>
      <c r="X2" s="1">
        <f t="shared" si="0"/>
        <v>18</v>
      </c>
      <c r="Y2" s="1">
        <f t="shared" si="0"/>
        <v>19</v>
      </c>
      <c r="Z2" s="1">
        <f t="shared" si="0"/>
        <v>20</v>
      </c>
      <c r="AA2" s="1">
        <f t="shared" si="0"/>
        <v>21</v>
      </c>
      <c r="AB2" s="1">
        <f t="shared" si="0"/>
        <v>22</v>
      </c>
      <c r="AC2" s="1">
        <f t="shared" si="0"/>
        <v>23</v>
      </c>
      <c r="AD2" s="1">
        <f t="shared" si="0"/>
        <v>24</v>
      </c>
      <c r="AE2" s="1">
        <f t="shared" si="0"/>
        <v>25</v>
      </c>
      <c r="AF2" s="1">
        <f t="shared" si="0"/>
        <v>26</v>
      </c>
      <c r="AG2" s="1">
        <f t="shared" si="0"/>
        <v>27</v>
      </c>
      <c r="AH2" s="1">
        <f t="shared" si="0"/>
        <v>28</v>
      </c>
      <c r="AI2" s="1">
        <f t="shared" si="0"/>
        <v>29</v>
      </c>
      <c r="AJ2" s="1">
        <f t="shared" si="0"/>
        <v>30</v>
      </c>
      <c r="AK2" s="1">
        <f t="shared" si="0"/>
        <v>31</v>
      </c>
      <c r="AL2" s="1">
        <f t="shared" si="0"/>
        <v>32</v>
      </c>
      <c r="AM2" s="1">
        <f t="shared" si="0"/>
        <v>33</v>
      </c>
      <c r="AN2" s="1">
        <f t="shared" si="0"/>
        <v>34</v>
      </c>
      <c r="AO2" s="1">
        <f t="shared" si="0"/>
        <v>35</v>
      </c>
      <c r="AP2" s="1">
        <f t="shared" si="0"/>
        <v>36</v>
      </c>
      <c r="AQ2" s="1">
        <f t="shared" si="0"/>
        <v>37</v>
      </c>
      <c r="AR2" s="1">
        <f t="shared" si="0"/>
        <v>38</v>
      </c>
      <c r="AS2" s="1">
        <f t="shared" si="0"/>
        <v>39</v>
      </c>
      <c r="AT2" s="1">
        <f t="shared" si="0"/>
        <v>40</v>
      </c>
      <c r="AU2" s="1">
        <f t="shared" si="0"/>
        <v>41</v>
      </c>
      <c r="AV2" s="1">
        <f t="shared" si="0"/>
        <v>42</v>
      </c>
      <c r="AW2" s="1">
        <f t="shared" si="0"/>
        <v>43</v>
      </c>
      <c r="AX2" s="1">
        <f t="shared" si="0"/>
        <v>44</v>
      </c>
      <c r="AY2" s="1">
        <f t="shared" si="0"/>
        <v>45</v>
      </c>
      <c r="AZ2" s="1">
        <f t="shared" si="0"/>
        <v>46</v>
      </c>
      <c r="BA2" s="1">
        <f t="shared" si="0"/>
        <v>47</v>
      </c>
      <c r="BB2" s="1">
        <f t="shared" si="0"/>
        <v>48</v>
      </c>
      <c r="BC2" s="1">
        <f t="shared" si="0"/>
        <v>49</v>
      </c>
      <c r="BD2" s="1">
        <f t="shared" si="0"/>
        <v>50</v>
      </c>
      <c r="BE2" s="1">
        <f t="shared" si="0"/>
        <v>51</v>
      </c>
      <c r="BF2" s="1">
        <f t="shared" si="0"/>
        <v>52</v>
      </c>
      <c r="BG2" s="1">
        <f t="shared" si="0"/>
        <v>53</v>
      </c>
      <c r="BH2" s="1">
        <f t="shared" si="0"/>
        <v>54</v>
      </c>
      <c r="BI2" s="1">
        <f t="shared" si="0"/>
        <v>55</v>
      </c>
      <c r="BJ2" s="1">
        <f t="shared" si="0"/>
        <v>56</v>
      </c>
      <c r="BK2" s="1">
        <f t="shared" si="0"/>
        <v>57</v>
      </c>
      <c r="BL2" s="1">
        <f t="shared" si="0"/>
        <v>58</v>
      </c>
      <c r="BM2" s="1">
        <f t="shared" si="0"/>
        <v>59</v>
      </c>
      <c r="BN2" s="1">
        <f t="shared" si="0"/>
        <v>60</v>
      </c>
      <c r="BO2" s="1">
        <f t="shared" si="0"/>
        <v>61</v>
      </c>
      <c r="BP2" s="1">
        <f t="shared" si="0"/>
        <v>62</v>
      </c>
      <c r="BQ2" s="1">
        <f t="shared" si="0"/>
        <v>63</v>
      </c>
      <c r="BR2" s="1">
        <f t="shared" si="0"/>
        <v>64</v>
      </c>
      <c r="BS2" s="1">
        <f t="shared" si="0"/>
        <v>65</v>
      </c>
      <c r="BT2" s="1">
        <f t="shared" si="0"/>
        <v>66</v>
      </c>
      <c r="BU2" s="1">
        <f t="shared" ref="BU2:EF2" si="1">BT2+1</f>
        <v>67</v>
      </c>
      <c r="BV2" s="1">
        <f t="shared" si="1"/>
        <v>68</v>
      </c>
      <c r="BW2" s="1">
        <f t="shared" si="1"/>
        <v>69</v>
      </c>
      <c r="BX2" s="1">
        <f t="shared" si="1"/>
        <v>70</v>
      </c>
      <c r="BY2" s="1">
        <f t="shared" si="1"/>
        <v>71</v>
      </c>
      <c r="BZ2" s="1">
        <f t="shared" si="1"/>
        <v>72</v>
      </c>
      <c r="CA2" s="1">
        <f t="shared" si="1"/>
        <v>73</v>
      </c>
      <c r="CB2" s="1">
        <f t="shared" si="1"/>
        <v>74</v>
      </c>
      <c r="CC2" s="1">
        <f t="shared" si="1"/>
        <v>75</v>
      </c>
      <c r="CD2" s="1">
        <f t="shared" si="1"/>
        <v>76</v>
      </c>
      <c r="CE2" s="1">
        <f t="shared" si="1"/>
        <v>77</v>
      </c>
      <c r="CF2" s="1">
        <f t="shared" si="1"/>
        <v>78</v>
      </c>
      <c r="CG2" s="1">
        <f t="shared" si="1"/>
        <v>79</v>
      </c>
      <c r="CH2" s="1">
        <f t="shared" si="1"/>
        <v>80</v>
      </c>
      <c r="CI2" s="1">
        <f t="shared" si="1"/>
        <v>81</v>
      </c>
      <c r="CJ2" s="1">
        <f t="shared" si="1"/>
        <v>82</v>
      </c>
      <c r="CK2" s="1">
        <f t="shared" si="1"/>
        <v>83</v>
      </c>
      <c r="CL2" s="1">
        <f t="shared" si="1"/>
        <v>84</v>
      </c>
      <c r="CM2" s="1">
        <f t="shared" si="1"/>
        <v>85</v>
      </c>
      <c r="CN2" s="1">
        <f t="shared" si="1"/>
        <v>86</v>
      </c>
      <c r="CO2" s="1">
        <f t="shared" si="1"/>
        <v>87</v>
      </c>
      <c r="CP2" s="1">
        <f t="shared" si="1"/>
        <v>88</v>
      </c>
      <c r="CQ2" s="1">
        <f t="shared" si="1"/>
        <v>89</v>
      </c>
      <c r="CR2" s="1">
        <f t="shared" si="1"/>
        <v>90</v>
      </c>
      <c r="CS2" s="1">
        <f t="shared" si="1"/>
        <v>91</v>
      </c>
      <c r="CT2" s="1">
        <f t="shared" si="1"/>
        <v>92</v>
      </c>
      <c r="CU2" s="1">
        <f t="shared" si="1"/>
        <v>93</v>
      </c>
      <c r="CV2" s="1">
        <f t="shared" si="1"/>
        <v>94</v>
      </c>
      <c r="CW2" s="1">
        <f t="shared" si="1"/>
        <v>95</v>
      </c>
      <c r="CX2" s="1">
        <f t="shared" si="1"/>
        <v>96</v>
      </c>
      <c r="CY2" s="1">
        <f t="shared" si="1"/>
        <v>97</v>
      </c>
      <c r="CZ2" s="1">
        <f t="shared" si="1"/>
        <v>98</v>
      </c>
      <c r="DA2" s="1">
        <f t="shared" si="1"/>
        <v>99</v>
      </c>
      <c r="DB2" s="1">
        <f t="shared" si="1"/>
        <v>100</v>
      </c>
      <c r="DC2" s="1">
        <f t="shared" si="1"/>
        <v>101</v>
      </c>
      <c r="DD2" s="1">
        <f t="shared" si="1"/>
        <v>102</v>
      </c>
      <c r="DE2" s="1">
        <f t="shared" si="1"/>
        <v>103</v>
      </c>
      <c r="DF2" s="1">
        <f t="shared" si="1"/>
        <v>104</v>
      </c>
      <c r="DG2" s="1">
        <f t="shared" si="1"/>
        <v>105</v>
      </c>
      <c r="DH2" s="1">
        <f t="shared" si="1"/>
        <v>106</v>
      </c>
      <c r="DI2" s="1">
        <f t="shared" si="1"/>
        <v>107</v>
      </c>
      <c r="DJ2" s="1">
        <f t="shared" si="1"/>
        <v>108</v>
      </c>
      <c r="DK2" s="1">
        <f t="shared" si="1"/>
        <v>109</v>
      </c>
      <c r="DL2" s="1">
        <f t="shared" si="1"/>
        <v>110</v>
      </c>
      <c r="DM2" s="1">
        <f t="shared" si="1"/>
        <v>111</v>
      </c>
      <c r="DN2" s="1">
        <f t="shared" si="1"/>
        <v>112</v>
      </c>
      <c r="DO2" s="1">
        <f t="shared" si="1"/>
        <v>113</v>
      </c>
      <c r="DP2" s="1">
        <f t="shared" si="1"/>
        <v>114</v>
      </c>
      <c r="DQ2" s="1">
        <f t="shared" si="1"/>
        <v>115</v>
      </c>
      <c r="DR2" s="1">
        <f t="shared" si="1"/>
        <v>116</v>
      </c>
      <c r="DS2" s="1">
        <f t="shared" si="1"/>
        <v>117</v>
      </c>
      <c r="DT2" s="1">
        <f t="shared" si="1"/>
        <v>118</v>
      </c>
      <c r="DU2" s="1">
        <f t="shared" si="1"/>
        <v>119</v>
      </c>
      <c r="DV2" s="1">
        <f t="shared" si="1"/>
        <v>120</v>
      </c>
      <c r="DW2" s="1">
        <f t="shared" si="1"/>
        <v>121</v>
      </c>
      <c r="DX2" s="1">
        <f t="shared" si="1"/>
        <v>122</v>
      </c>
      <c r="DY2" s="1">
        <f t="shared" si="1"/>
        <v>123</v>
      </c>
      <c r="DZ2" s="1">
        <f t="shared" si="1"/>
        <v>124</v>
      </c>
      <c r="EA2" s="1">
        <f t="shared" si="1"/>
        <v>125</v>
      </c>
      <c r="EB2" s="1">
        <f t="shared" si="1"/>
        <v>126</v>
      </c>
      <c r="EC2" s="1">
        <f t="shared" si="1"/>
        <v>127</v>
      </c>
      <c r="ED2" s="1">
        <f t="shared" si="1"/>
        <v>128</v>
      </c>
      <c r="EE2" s="1">
        <f t="shared" si="1"/>
        <v>129</v>
      </c>
      <c r="EF2" s="1">
        <f t="shared" si="1"/>
        <v>130</v>
      </c>
      <c r="EG2" s="1">
        <f t="shared" ref="EG2:GR2" si="2">EF2+1</f>
        <v>131</v>
      </c>
      <c r="EH2" s="1">
        <f t="shared" si="2"/>
        <v>132</v>
      </c>
      <c r="EI2" s="1">
        <f t="shared" si="2"/>
        <v>133</v>
      </c>
      <c r="EJ2" s="1">
        <f t="shared" si="2"/>
        <v>134</v>
      </c>
      <c r="EK2" s="1">
        <f t="shared" si="2"/>
        <v>135</v>
      </c>
      <c r="EL2" s="1">
        <f t="shared" si="2"/>
        <v>136</v>
      </c>
      <c r="EM2" s="1">
        <f t="shared" si="2"/>
        <v>137</v>
      </c>
      <c r="EN2" s="1">
        <f t="shared" si="2"/>
        <v>138</v>
      </c>
      <c r="EO2" s="1">
        <f t="shared" si="2"/>
        <v>139</v>
      </c>
      <c r="EP2" s="1">
        <f t="shared" si="2"/>
        <v>140</v>
      </c>
      <c r="EQ2" s="1">
        <f t="shared" si="2"/>
        <v>141</v>
      </c>
      <c r="ER2" s="1">
        <f t="shared" si="2"/>
        <v>142</v>
      </c>
      <c r="ES2" s="1">
        <f t="shared" si="2"/>
        <v>143</v>
      </c>
      <c r="ET2" s="1">
        <f t="shared" si="2"/>
        <v>144</v>
      </c>
      <c r="EU2" s="1">
        <f t="shared" si="2"/>
        <v>145</v>
      </c>
      <c r="EV2" s="1">
        <f t="shared" si="2"/>
        <v>146</v>
      </c>
      <c r="EW2" s="1">
        <f t="shared" si="2"/>
        <v>147</v>
      </c>
      <c r="EX2" s="1">
        <f t="shared" si="2"/>
        <v>148</v>
      </c>
      <c r="EY2" s="1">
        <f t="shared" si="2"/>
        <v>149</v>
      </c>
      <c r="EZ2" s="1">
        <f t="shared" si="2"/>
        <v>150</v>
      </c>
      <c r="FA2" s="1">
        <f t="shared" si="2"/>
        <v>151</v>
      </c>
      <c r="FB2" s="1">
        <f t="shared" si="2"/>
        <v>152</v>
      </c>
      <c r="FC2" s="1">
        <f t="shared" si="2"/>
        <v>153</v>
      </c>
      <c r="FD2" s="1">
        <f t="shared" si="2"/>
        <v>154</v>
      </c>
      <c r="FE2" s="1">
        <f t="shared" si="2"/>
        <v>155</v>
      </c>
      <c r="FF2" s="1">
        <f t="shared" si="2"/>
        <v>156</v>
      </c>
      <c r="FG2" s="1">
        <f t="shared" si="2"/>
        <v>157</v>
      </c>
      <c r="FH2" s="1">
        <f t="shared" si="2"/>
        <v>158</v>
      </c>
      <c r="FI2" s="1">
        <f t="shared" si="2"/>
        <v>159</v>
      </c>
      <c r="FJ2" s="1">
        <f t="shared" si="2"/>
        <v>160</v>
      </c>
      <c r="FK2" s="1">
        <f t="shared" si="2"/>
        <v>161</v>
      </c>
      <c r="FL2" s="1">
        <f t="shared" si="2"/>
        <v>162</v>
      </c>
      <c r="FM2" s="1">
        <f t="shared" si="2"/>
        <v>163</v>
      </c>
      <c r="FN2" s="1">
        <f t="shared" si="2"/>
        <v>164</v>
      </c>
      <c r="FO2" s="1">
        <f t="shared" si="2"/>
        <v>165</v>
      </c>
      <c r="FP2" s="1">
        <f t="shared" si="2"/>
        <v>166</v>
      </c>
      <c r="FQ2" s="1">
        <f t="shared" si="2"/>
        <v>167</v>
      </c>
      <c r="FR2" s="1">
        <f t="shared" si="2"/>
        <v>168</v>
      </c>
      <c r="FS2" s="1">
        <f t="shared" si="2"/>
        <v>169</v>
      </c>
      <c r="FT2" s="1">
        <f t="shared" si="2"/>
        <v>170</v>
      </c>
      <c r="FU2" s="1">
        <f t="shared" si="2"/>
        <v>171</v>
      </c>
      <c r="FV2" s="1">
        <f t="shared" si="2"/>
        <v>172</v>
      </c>
      <c r="FW2" s="1">
        <f t="shared" si="2"/>
        <v>173</v>
      </c>
      <c r="FX2" s="1">
        <f t="shared" si="2"/>
        <v>174</v>
      </c>
      <c r="FY2" s="1">
        <f t="shared" si="2"/>
        <v>175</v>
      </c>
      <c r="FZ2" s="1">
        <f t="shared" si="2"/>
        <v>176</v>
      </c>
      <c r="GA2" s="1">
        <f t="shared" si="2"/>
        <v>177</v>
      </c>
      <c r="GB2" s="1">
        <f t="shared" si="2"/>
        <v>178</v>
      </c>
      <c r="GC2" s="1">
        <f t="shared" si="2"/>
        <v>179</v>
      </c>
      <c r="GD2" s="1">
        <f t="shared" si="2"/>
        <v>180</v>
      </c>
      <c r="GE2" s="1">
        <f t="shared" si="2"/>
        <v>181</v>
      </c>
      <c r="GF2" s="1">
        <f t="shared" si="2"/>
        <v>182</v>
      </c>
      <c r="GG2" s="1">
        <f t="shared" si="2"/>
        <v>183</v>
      </c>
      <c r="GH2" s="1">
        <f t="shared" si="2"/>
        <v>184</v>
      </c>
      <c r="GI2" s="1">
        <f t="shared" si="2"/>
        <v>185</v>
      </c>
      <c r="GJ2" s="1">
        <f t="shared" si="2"/>
        <v>186</v>
      </c>
      <c r="GK2" s="1">
        <f t="shared" si="2"/>
        <v>187</v>
      </c>
      <c r="GL2" s="1">
        <f t="shared" si="2"/>
        <v>188</v>
      </c>
      <c r="GM2" s="1">
        <f t="shared" si="2"/>
        <v>189</v>
      </c>
      <c r="GN2" s="1">
        <f t="shared" si="2"/>
        <v>190</v>
      </c>
      <c r="GO2" s="1">
        <f t="shared" si="2"/>
        <v>191</v>
      </c>
      <c r="GP2" s="1">
        <f t="shared" si="2"/>
        <v>192</v>
      </c>
      <c r="GQ2" s="1">
        <f t="shared" si="2"/>
        <v>193</v>
      </c>
      <c r="GR2" s="1">
        <f t="shared" si="2"/>
        <v>194</v>
      </c>
      <c r="GS2" s="1">
        <f t="shared" ref="GS2:JC2" si="3">GR2+1</f>
        <v>195</v>
      </c>
      <c r="GT2" s="1">
        <f t="shared" si="3"/>
        <v>196</v>
      </c>
      <c r="GU2" s="1">
        <f t="shared" si="3"/>
        <v>197</v>
      </c>
      <c r="GV2" s="1">
        <f t="shared" si="3"/>
        <v>198</v>
      </c>
      <c r="GW2" s="1">
        <f t="shared" si="3"/>
        <v>199</v>
      </c>
      <c r="GX2" s="1">
        <f t="shared" si="3"/>
        <v>200</v>
      </c>
      <c r="GY2" s="1">
        <f t="shared" si="3"/>
        <v>201</v>
      </c>
      <c r="GZ2" s="1">
        <f t="shared" si="3"/>
        <v>202</v>
      </c>
      <c r="HA2" s="1">
        <f t="shared" si="3"/>
        <v>203</v>
      </c>
      <c r="HB2" s="1">
        <f t="shared" si="3"/>
        <v>204</v>
      </c>
      <c r="HC2" s="1">
        <f t="shared" si="3"/>
        <v>205</v>
      </c>
      <c r="HD2" s="1">
        <f t="shared" si="3"/>
        <v>206</v>
      </c>
      <c r="HE2" s="1">
        <f t="shared" si="3"/>
        <v>207</v>
      </c>
      <c r="HF2" s="1">
        <f t="shared" si="3"/>
        <v>208</v>
      </c>
      <c r="HG2" s="1">
        <f t="shared" si="3"/>
        <v>209</v>
      </c>
      <c r="HH2" s="1">
        <f t="shared" si="3"/>
        <v>210</v>
      </c>
      <c r="HI2" s="1">
        <f t="shared" si="3"/>
        <v>211</v>
      </c>
      <c r="HJ2" s="1">
        <f t="shared" si="3"/>
        <v>212</v>
      </c>
      <c r="HK2" s="1">
        <f t="shared" si="3"/>
        <v>213</v>
      </c>
      <c r="HL2" s="1">
        <f t="shared" si="3"/>
        <v>214</v>
      </c>
      <c r="HM2" s="1">
        <f t="shared" si="3"/>
        <v>215</v>
      </c>
      <c r="HN2" s="1">
        <f t="shared" si="3"/>
        <v>216</v>
      </c>
      <c r="HO2" s="1">
        <f t="shared" si="3"/>
        <v>217</v>
      </c>
      <c r="HP2" s="1">
        <f t="shared" si="3"/>
        <v>218</v>
      </c>
      <c r="HQ2" s="1">
        <f t="shared" si="3"/>
        <v>219</v>
      </c>
      <c r="HR2" s="1">
        <f t="shared" si="3"/>
        <v>220</v>
      </c>
      <c r="HS2" s="1">
        <f t="shared" si="3"/>
        <v>221</v>
      </c>
      <c r="HT2" s="1">
        <f t="shared" si="3"/>
        <v>222</v>
      </c>
      <c r="HU2" s="1">
        <f t="shared" si="3"/>
        <v>223</v>
      </c>
      <c r="HV2" s="1">
        <f t="shared" si="3"/>
        <v>224</v>
      </c>
      <c r="HW2" s="1">
        <f t="shared" si="3"/>
        <v>225</v>
      </c>
      <c r="HX2" s="1">
        <f t="shared" si="3"/>
        <v>226</v>
      </c>
      <c r="HY2" s="1">
        <f t="shared" si="3"/>
        <v>227</v>
      </c>
      <c r="HZ2" s="1">
        <f t="shared" si="3"/>
        <v>228</v>
      </c>
      <c r="IA2" s="1">
        <f t="shared" si="3"/>
        <v>229</v>
      </c>
      <c r="IB2" s="1">
        <f t="shared" si="3"/>
        <v>230</v>
      </c>
      <c r="IC2" s="1">
        <f t="shared" si="3"/>
        <v>231</v>
      </c>
      <c r="ID2" s="1">
        <f t="shared" si="3"/>
        <v>232</v>
      </c>
      <c r="IE2" s="1">
        <f t="shared" si="3"/>
        <v>233</v>
      </c>
      <c r="IF2" s="1">
        <f t="shared" si="3"/>
        <v>234</v>
      </c>
      <c r="IG2" s="1">
        <f t="shared" si="3"/>
        <v>235</v>
      </c>
      <c r="IH2" s="1">
        <f t="shared" si="3"/>
        <v>236</v>
      </c>
      <c r="II2" s="1">
        <f t="shared" si="3"/>
        <v>237</v>
      </c>
      <c r="IJ2" s="1">
        <f t="shared" si="3"/>
        <v>238</v>
      </c>
      <c r="IK2" s="1">
        <f t="shared" si="3"/>
        <v>239</v>
      </c>
      <c r="IL2" s="1">
        <f t="shared" si="3"/>
        <v>240</v>
      </c>
      <c r="IM2" s="1">
        <f t="shared" si="3"/>
        <v>241</v>
      </c>
      <c r="IN2" s="1">
        <f t="shared" si="3"/>
        <v>242</v>
      </c>
      <c r="IO2" s="1">
        <f t="shared" si="3"/>
        <v>243</v>
      </c>
      <c r="IP2" s="1">
        <f t="shared" si="3"/>
        <v>244</v>
      </c>
      <c r="IQ2" s="1">
        <f t="shared" si="3"/>
        <v>245</v>
      </c>
      <c r="IR2" s="1">
        <f t="shared" si="3"/>
        <v>246</v>
      </c>
      <c r="IS2" s="1">
        <f t="shared" si="3"/>
        <v>247</v>
      </c>
      <c r="IT2" s="1">
        <f t="shared" si="3"/>
        <v>248</v>
      </c>
      <c r="IU2" s="1">
        <f t="shared" si="3"/>
        <v>249</v>
      </c>
      <c r="IV2" s="1">
        <f t="shared" si="3"/>
        <v>250</v>
      </c>
      <c r="IW2" s="1">
        <f t="shared" si="3"/>
        <v>251</v>
      </c>
      <c r="IX2" s="1">
        <f t="shared" si="3"/>
        <v>252</v>
      </c>
      <c r="IY2" s="1">
        <f t="shared" si="3"/>
        <v>253</v>
      </c>
      <c r="IZ2" s="1">
        <f t="shared" si="3"/>
        <v>254</v>
      </c>
      <c r="JA2" s="1">
        <f t="shared" si="3"/>
        <v>255</v>
      </c>
      <c r="JB2" s="1">
        <f t="shared" si="3"/>
        <v>256</v>
      </c>
      <c r="JC2" s="1">
        <f t="shared" si="3"/>
        <v>257</v>
      </c>
      <c r="JD2" t="s">
        <v>45</v>
      </c>
    </row>
    <row r="3" spans="1:264" x14ac:dyDescent="0.25">
      <c r="A3" s="4"/>
      <c r="F3" t="s">
        <v>38</v>
      </c>
      <c r="G3" s="2">
        <f ca="1">TODAY()</f>
        <v>44123</v>
      </c>
      <c r="H3" s="2">
        <f t="shared" ref="H3:BS3" ca="1" si="4">WORKDAY(G3,-1)</f>
        <v>44120</v>
      </c>
      <c r="I3" s="2">
        <f t="shared" ca="1" si="4"/>
        <v>44119</v>
      </c>
      <c r="J3" s="2">
        <f t="shared" ca="1" si="4"/>
        <v>44118</v>
      </c>
      <c r="K3" s="2">
        <f t="shared" ca="1" si="4"/>
        <v>44117</v>
      </c>
      <c r="L3" s="2">
        <f t="shared" ca="1" si="4"/>
        <v>44116</v>
      </c>
      <c r="M3" s="2">
        <f t="shared" ca="1" si="4"/>
        <v>44113</v>
      </c>
      <c r="N3" s="2">
        <f t="shared" ca="1" si="4"/>
        <v>44112</v>
      </c>
      <c r="O3" s="2">
        <f t="shared" ca="1" si="4"/>
        <v>44111</v>
      </c>
      <c r="P3" s="2">
        <f t="shared" ca="1" si="4"/>
        <v>44110</v>
      </c>
      <c r="Q3" s="2">
        <f t="shared" ca="1" si="4"/>
        <v>44109</v>
      </c>
      <c r="R3" s="2">
        <f t="shared" ca="1" si="4"/>
        <v>44106</v>
      </c>
      <c r="S3" s="2">
        <f t="shared" ca="1" si="4"/>
        <v>44105</v>
      </c>
      <c r="T3" s="2">
        <f t="shared" ca="1" si="4"/>
        <v>44104</v>
      </c>
      <c r="U3" s="2">
        <f t="shared" ca="1" si="4"/>
        <v>44103</v>
      </c>
      <c r="V3" s="2">
        <f t="shared" ca="1" si="4"/>
        <v>44102</v>
      </c>
      <c r="W3" s="2">
        <f t="shared" ca="1" si="4"/>
        <v>44099</v>
      </c>
      <c r="X3" s="2">
        <f t="shared" ca="1" si="4"/>
        <v>44098</v>
      </c>
      <c r="Y3" s="2">
        <f t="shared" ca="1" si="4"/>
        <v>44097</v>
      </c>
      <c r="Z3" s="2">
        <f t="shared" ca="1" si="4"/>
        <v>44096</v>
      </c>
      <c r="AA3" s="2">
        <f t="shared" ca="1" si="4"/>
        <v>44095</v>
      </c>
      <c r="AB3" s="2">
        <f t="shared" ca="1" si="4"/>
        <v>44092</v>
      </c>
      <c r="AC3" s="2">
        <f t="shared" ca="1" si="4"/>
        <v>44091</v>
      </c>
      <c r="AD3" s="2">
        <f t="shared" ca="1" si="4"/>
        <v>44090</v>
      </c>
      <c r="AE3" s="2">
        <f t="shared" ca="1" si="4"/>
        <v>44089</v>
      </c>
      <c r="AF3" s="2">
        <f t="shared" ca="1" si="4"/>
        <v>44088</v>
      </c>
      <c r="AG3" s="2">
        <f t="shared" ca="1" si="4"/>
        <v>44085</v>
      </c>
      <c r="AH3" s="2">
        <f t="shared" ca="1" si="4"/>
        <v>44084</v>
      </c>
      <c r="AI3" s="2">
        <f t="shared" ca="1" si="4"/>
        <v>44083</v>
      </c>
      <c r="AJ3" s="2">
        <f t="shared" ca="1" si="4"/>
        <v>44082</v>
      </c>
      <c r="AK3" s="2">
        <f t="shared" ca="1" si="4"/>
        <v>44081</v>
      </c>
      <c r="AL3" s="2">
        <f t="shared" ca="1" si="4"/>
        <v>44078</v>
      </c>
      <c r="AM3" s="2">
        <f t="shared" ca="1" si="4"/>
        <v>44077</v>
      </c>
      <c r="AN3" s="2">
        <f t="shared" ca="1" si="4"/>
        <v>44076</v>
      </c>
      <c r="AO3" s="2">
        <f t="shared" ca="1" si="4"/>
        <v>44075</v>
      </c>
      <c r="AP3" s="2">
        <f t="shared" ca="1" si="4"/>
        <v>44074</v>
      </c>
      <c r="AQ3" s="2">
        <f t="shared" ca="1" si="4"/>
        <v>44071</v>
      </c>
      <c r="AR3" s="2">
        <f t="shared" ca="1" si="4"/>
        <v>44070</v>
      </c>
      <c r="AS3" s="2">
        <f t="shared" ca="1" si="4"/>
        <v>44069</v>
      </c>
      <c r="AT3" s="2">
        <f t="shared" ca="1" si="4"/>
        <v>44068</v>
      </c>
      <c r="AU3" s="2">
        <f t="shared" ca="1" si="4"/>
        <v>44067</v>
      </c>
      <c r="AV3" s="2">
        <f t="shared" ca="1" si="4"/>
        <v>44064</v>
      </c>
      <c r="AW3" s="2">
        <f t="shared" ca="1" si="4"/>
        <v>44063</v>
      </c>
      <c r="AX3" s="2">
        <f t="shared" ca="1" si="4"/>
        <v>44062</v>
      </c>
      <c r="AY3" s="2">
        <f t="shared" ca="1" si="4"/>
        <v>44061</v>
      </c>
      <c r="AZ3" s="2">
        <f t="shared" ca="1" si="4"/>
        <v>44060</v>
      </c>
      <c r="BA3" s="2">
        <f t="shared" ca="1" si="4"/>
        <v>44057</v>
      </c>
      <c r="BB3" s="2">
        <f t="shared" ca="1" si="4"/>
        <v>44056</v>
      </c>
      <c r="BC3" s="2">
        <f t="shared" ca="1" si="4"/>
        <v>44055</v>
      </c>
      <c r="BD3" s="2">
        <f t="shared" ca="1" si="4"/>
        <v>44054</v>
      </c>
      <c r="BE3" s="2">
        <f t="shared" ca="1" si="4"/>
        <v>44053</v>
      </c>
      <c r="BF3" s="2">
        <f t="shared" ca="1" si="4"/>
        <v>44050</v>
      </c>
      <c r="BG3" s="2">
        <f t="shared" ca="1" si="4"/>
        <v>44049</v>
      </c>
      <c r="BH3" s="2">
        <f t="shared" ca="1" si="4"/>
        <v>44048</v>
      </c>
      <c r="BI3" s="2">
        <f t="shared" ca="1" si="4"/>
        <v>44047</v>
      </c>
      <c r="BJ3" s="2">
        <f t="shared" ca="1" si="4"/>
        <v>44046</v>
      </c>
      <c r="BK3" s="2">
        <f t="shared" ca="1" si="4"/>
        <v>44043</v>
      </c>
      <c r="BL3" s="2">
        <f t="shared" ca="1" si="4"/>
        <v>44042</v>
      </c>
      <c r="BM3" s="2">
        <f t="shared" ca="1" si="4"/>
        <v>44041</v>
      </c>
      <c r="BN3" s="2">
        <f t="shared" ca="1" si="4"/>
        <v>44040</v>
      </c>
      <c r="BO3" s="2">
        <f t="shared" ca="1" si="4"/>
        <v>44039</v>
      </c>
      <c r="BP3" s="2">
        <f t="shared" ca="1" si="4"/>
        <v>44036</v>
      </c>
      <c r="BQ3" s="2">
        <f t="shared" ca="1" si="4"/>
        <v>44035</v>
      </c>
      <c r="BR3" s="2">
        <f t="shared" ca="1" si="4"/>
        <v>44034</v>
      </c>
      <c r="BS3" s="2">
        <f t="shared" ca="1" si="4"/>
        <v>44033</v>
      </c>
      <c r="BT3" s="2">
        <f t="shared" ref="BT3:EE3" ca="1" si="5">WORKDAY(BS3,-1)</f>
        <v>44032</v>
      </c>
      <c r="BU3" s="2">
        <f t="shared" ca="1" si="5"/>
        <v>44029</v>
      </c>
      <c r="BV3" s="2">
        <f t="shared" ca="1" si="5"/>
        <v>44028</v>
      </c>
      <c r="BW3" s="2">
        <f t="shared" ca="1" si="5"/>
        <v>44027</v>
      </c>
      <c r="BX3" s="2">
        <f t="shared" ca="1" si="5"/>
        <v>44026</v>
      </c>
      <c r="BY3" s="2">
        <f t="shared" ca="1" si="5"/>
        <v>44025</v>
      </c>
      <c r="BZ3" s="2">
        <f t="shared" ca="1" si="5"/>
        <v>44022</v>
      </c>
      <c r="CA3" s="2">
        <f t="shared" ca="1" si="5"/>
        <v>44021</v>
      </c>
      <c r="CB3" s="2">
        <f t="shared" ca="1" si="5"/>
        <v>44020</v>
      </c>
      <c r="CC3" s="2">
        <f t="shared" ca="1" si="5"/>
        <v>44019</v>
      </c>
      <c r="CD3" s="2">
        <f t="shared" ca="1" si="5"/>
        <v>44018</v>
      </c>
      <c r="CE3" s="2">
        <f t="shared" ca="1" si="5"/>
        <v>44015</v>
      </c>
      <c r="CF3" s="2">
        <f t="shared" ca="1" si="5"/>
        <v>44014</v>
      </c>
      <c r="CG3" s="2">
        <f t="shared" ca="1" si="5"/>
        <v>44013</v>
      </c>
      <c r="CH3" s="2">
        <f t="shared" ca="1" si="5"/>
        <v>44012</v>
      </c>
      <c r="CI3" s="2">
        <f t="shared" ca="1" si="5"/>
        <v>44011</v>
      </c>
      <c r="CJ3" s="2">
        <f t="shared" ca="1" si="5"/>
        <v>44008</v>
      </c>
      <c r="CK3" s="2">
        <f t="shared" ca="1" si="5"/>
        <v>44007</v>
      </c>
      <c r="CL3" s="2">
        <f t="shared" ca="1" si="5"/>
        <v>44006</v>
      </c>
      <c r="CM3" s="2">
        <f t="shared" ca="1" si="5"/>
        <v>44005</v>
      </c>
      <c r="CN3" s="2">
        <f t="shared" ca="1" si="5"/>
        <v>44004</v>
      </c>
      <c r="CO3" s="2">
        <f t="shared" ca="1" si="5"/>
        <v>44001</v>
      </c>
      <c r="CP3" s="2">
        <f t="shared" ca="1" si="5"/>
        <v>44000</v>
      </c>
      <c r="CQ3" s="2">
        <f t="shared" ca="1" si="5"/>
        <v>43999</v>
      </c>
      <c r="CR3" s="2">
        <f t="shared" ca="1" si="5"/>
        <v>43998</v>
      </c>
      <c r="CS3" s="2">
        <f t="shared" ca="1" si="5"/>
        <v>43997</v>
      </c>
      <c r="CT3" s="2">
        <f t="shared" ca="1" si="5"/>
        <v>43994</v>
      </c>
      <c r="CU3" s="2">
        <f t="shared" ca="1" si="5"/>
        <v>43993</v>
      </c>
      <c r="CV3" s="2">
        <f t="shared" ca="1" si="5"/>
        <v>43992</v>
      </c>
      <c r="CW3" s="2">
        <f t="shared" ca="1" si="5"/>
        <v>43991</v>
      </c>
      <c r="CX3" s="2">
        <f t="shared" ca="1" si="5"/>
        <v>43990</v>
      </c>
      <c r="CY3" s="2">
        <f t="shared" ca="1" si="5"/>
        <v>43987</v>
      </c>
      <c r="CZ3" s="2">
        <f t="shared" ca="1" si="5"/>
        <v>43986</v>
      </c>
      <c r="DA3" s="2">
        <f t="shared" ca="1" si="5"/>
        <v>43985</v>
      </c>
      <c r="DB3" s="2">
        <f t="shared" ca="1" si="5"/>
        <v>43984</v>
      </c>
      <c r="DC3" s="2">
        <f t="shared" ca="1" si="5"/>
        <v>43983</v>
      </c>
      <c r="DD3" s="2">
        <f t="shared" ca="1" si="5"/>
        <v>43980</v>
      </c>
      <c r="DE3" s="2">
        <f t="shared" ca="1" si="5"/>
        <v>43979</v>
      </c>
      <c r="DF3" s="2">
        <f t="shared" ca="1" si="5"/>
        <v>43978</v>
      </c>
      <c r="DG3" s="2">
        <f t="shared" ca="1" si="5"/>
        <v>43977</v>
      </c>
      <c r="DH3" s="2">
        <f t="shared" ca="1" si="5"/>
        <v>43976</v>
      </c>
      <c r="DI3" s="2">
        <f t="shared" ca="1" si="5"/>
        <v>43973</v>
      </c>
      <c r="DJ3" s="2">
        <f t="shared" ca="1" si="5"/>
        <v>43972</v>
      </c>
      <c r="DK3" s="2">
        <f t="shared" ca="1" si="5"/>
        <v>43971</v>
      </c>
      <c r="DL3" s="2">
        <f t="shared" ca="1" si="5"/>
        <v>43970</v>
      </c>
      <c r="DM3" s="2">
        <f t="shared" ca="1" si="5"/>
        <v>43969</v>
      </c>
      <c r="DN3" s="2">
        <f t="shared" ca="1" si="5"/>
        <v>43966</v>
      </c>
      <c r="DO3" s="2">
        <f t="shared" ca="1" si="5"/>
        <v>43965</v>
      </c>
      <c r="DP3" s="2">
        <f t="shared" ca="1" si="5"/>
        <v>43964</v>
      </c>
      <c r="DQ3" s="2">
        <f t="shared" ca="1" si="5"/>
        <v>43963</v>
      </c>
      <c r="DR3" s="2">
        <f t="shared" ca="1" si="5"/>
        <v>43962</v>
      </c>
      <c r="DS3" s="2">
        <f t="shared" ca="1" si="5"/>
        <v>43959</v>
      </c>
      <c r="DT3" s="2">
        <f t="shared" ca="1" si="5"/>
        <v>43958</v>
      </c>
      <c r="DU3" s="2">
        <f t="shared" ca="1" si="5"/>
        <v>43957</v>
      </c>
      <c r="DV3" s="2">
        <f t="shared" ca="1" si="5"/>
        <v>43956</v>
      </c>
      <c r="DW3" s="2">
        <f t="shared" ca="1" si="5"/>
        <v>43955</v>
      </c>
      <c r="DX3" s="2">
        <f t="shared" ca="1" si="5"/>
        <v>43952</v>
      </c>
      <c r="DY3" s="2">
        <f t="shared" ca="1" si="5"/>
        <v>43951</v>
      </c>
      <c r="DZ3" s="2">
        <f t="shared" ca="1" si="5"/>
        <v>43950</v>
      </c>
      <c r="EA3" s="2">
        <f t="shared" ca="1" si="5"/>
        <v>43949</v>
      </c>
      <c r="EB3" s="2">
        <f t="shared" ca="1" si="5"/>
        <v>43948</v>
      </c>
      <c r="EC3" s="2">
        <f t="shared" ca="1" si="5"/>
        <v>43945</v>
      </c>
      <c r="ED3" s="2">
        <f t="shared" ca="1" si="5"/>
        <v>43944</v>
      </c>
      <c r="EE3" s="2">
        <f t="shared" ca="1" si="5"/>
        <v>43943</v>
      </c>
      <c r="EF3" s="2">
        <f t="shared" ref="EF3:GQ3" ca="1" si="6">WORKDAY(EE3,-1)</f>
        <v>43942</v>
      </c>
      <c r="EG3" s="2">
        <f t="shared" ca="1" si="6"/>
        <v>43941</v>
      </c>
      <c r="EH3" s="2">
        <f t="shared" ca="1" si="6"/>
        <v>43938</v>
      </c>
      <c r="EI3" s="2">
        <f t="shared" ca="1" si="6"/>
        <v>43937</v>
      </c>
      <c r="EJ3" s="2">
        <f t="shared" ca="1" si="6"/>
        <v>43936</v>
      </c>
      <c r="EK3" s="2">
        <f t="shared" ca="1" si="6"/>
        <v>43935</v>
      </c>
      <c r="EL3" s="2">
        <f t="shared" ca="1" si="6"/>
        <v>43934</v>
      </c>
      <c r="EM3" s="2">
        <f t="shared" ca="1" si="6"/>
        <v>43931</v>
      </c>
      <c r="EN3" s="2">
        <f t="shared" ca="1" si="6"/>
        <v>43930</v>
      </c>
      <c r="EO3" s="2">
        <f t="shared" ca="1" si="6"/>
        <v>43929</v>
      </c>
      <c r="EP3" s="2">
        <f t="shared" ca="1" si="6"/>
        <v>43928</v>
      </c>
      <c r="EQ3" s="2">
        <f t="shared" ca="1" si="6"/>
        <v>43927</v>
      </c>
      <c r="ER3" s="2">
        <f t="shared" ca="1" si="6"/>
        <v>43924</v>
      </c>
      <c r="ES3" s="2">
        <f t="shared" ca="1" si="6"/>
        <v>43923</v>
      </c>
      <c r="ET3" s="2">
        <f t="shared" ca="1" si="6"/>
        <v>43922</v>
      </c>
      <c r="EU3" s="2">
        <f t="shared" ca="1" si="6"/>
        <v>43921</v>
      </c>
      <c r="EV3" s="2">
        <f t="shared" ca="1" si="6"/>
        <v>43920</v>
      </c>
      <c r="EW3" s="2">
        <f t="shared" ca="1" si="6"/>
        <v>43917</v>
      </c>
      <c r="EX3" s="2">
        <f t="shared" ca="1" si="6"/>
        <v>43916</v>
      </c>
      <c r="EY3" s="2">
        <f t="shared" ca="1" si="6"/>
        <v>43915</v>
      </c>
      <c r="EZ3" s="2">
        <f t="shared" ca="1" si="6"/>
        <v>43914</v>
      </c>
      <c r="FA3" s="2">
        <f t="shared" ca="1" si="6"/>
        <v>43913</v>
      </c>
      <c r="FB3" s="2">
        <f t="shared" ca="1" si="6"/>
        <v>43910</v>
      </c>
      <c r="FC3" s="2">
        <f t="shared" ca="1" si="6"/>
        <v>43909</v>
      </c>
      <c r="FD3" s="2">
        <f t="shared" ca="1" si="6"/>
        <v>43908</v>
      </c>
      <c r="FE3" s="2">
        <f t="shared" ca="1" si="6"/>
        <v>43907</v>
      </c>
      <c r="FF3" s="2">
        <f t="shared" ca="1" si="6"/>
        <v>43906</v>
      </c>
      <c r="FG3" s="2">
        <f t="shared" ca="1" si="6"/>
        <v>43903</v>
      </c>
      <c r="FH3" s="2">
        <f t="shared" ca="1" si="6"/>
        <v>43902</v>
      </c>
      <c r="FI3" s="2">
        <f t="shared" ca="1" si="6"/>
        <v>43901</v>
      </c>
      <c r="FJ3" s="2">
        <f t="shared" ca="1" si="6"/>
        <v>43900</v>
      </c>
      <c r="FK3" s="2">
        <f t="shared" ca="1" si="6"/>
        <v>43899</v>
      </c>
      <c r="FL3" s="2">
        <f t="shared" ca="1" si="6"/>
        <v>43896</v>
      </c>
      <c r="FM3" s="2">
        <f t="shared" ca="1" si="6"/>
        <v>43895</v>
      </c>
      <c r="FN3" s="2">
        <f t="shared" ca="1" si="6"/>
        <v>43894</v>
      </c>
      <c r="FO3" s="2">
        <f t="shared" ca="1" si="6"/>
        <v>43893</v>
      </c>
      <c r="FP3" s="2">
        <f t="shared" ca="1" si="6"/>
        <v>43892</v>
      </c>
      <c r="FQ3" s="2">
        <f t="shared" ca="1" si="6"/>
        <v>43889</v>
      </c>
      <c r="FR3" s="2">
        <f t="shared" ca="1" si="6"/>
        <v>43888</v>
      </c>
      <c r="FS3" s="2">
        <f t="shared" ca="1" si="6"/>
        <v>43887</v>
      </c>
      <c r="FT3" s="2">
        <f t="shared" ca="1" si="6"/>
        <v>43886</v>
      </c>
      <c r="FU3" s="2">
        <f t="shared" ca="1" si="6"/>
        <v>43885</v>
      </c>
      <c r="FV3" s="2">
        <f t="shared" ca="1" si="6"/>
        <v>43882</v>
      </c>
      <c r="FW3" s="2">
        <f t="shared" ca="1" si="6"/>
        <v>43881</v>
      </c>
      <c r="FX3" s="2">
        <f t="shared" ca="1" si="6"/>
        <v>43880</v>
      </c>
      <c r="FY3" s="2">
        <f t="shared" ca="1" si="6"/>
        <v>43879</v>
      </c>
      <c r="FZ3" s="2">
        <f t="shared" ca="1" si="6"/>
        <v>43878</v>
      </c>
      <c r="GA3" s="2">
        <f t="shared" ca="1" si="6"/>
        <v>43875</v>
      </c>
      <c r="GB3" s="2">
        <f t="shared" ca="1" si="6"/>
        <v>43874</v>
      </c>
      <c r="GC3" s="2">
        <f t="shared" ca="1" si="6"/>
        <v>43873</v>
      </c>
      <c r="GD3" s="2">
        <f t="shared" ca="1" si="6"/>
        <v>43872</v>
      </c>
      <c r="GE3" s="2">
        <f t="shared" ca="1" si="6"/>
        <v>43871</v>
      </c>
      <c r="GF3" s="2">
        <f t="shared" ca="1" si="6"/>
        <v>43868</v>
      </c>
      <c r="GG3" s="2">
        <f t="shared" ca="1" si="6"/>
        <v>43867</v>
      </c>
      <c r="GH3" s="2">
        <f t="shared" ca="1" si="6"/>
        <v>43866</v>
      </c>
      <c r="GI3" s="2">
        <f t="shared" ca="1" si="6"/>
        <v>43865</v>
      </c>
      <c r="GJ3" s="2">
        <f t="shared" ca="1" si="6"/>
        <v>43864</v>
      </c>
      <c r="GK3" s="2">
        <f t="shared" ca="1" si="6"/>
        <v>43861</v>
      </c>
      <c r="GL3" s="2">
        <f t="shared" ca="1" si="6"/>
        <v>43860</v>
      </c>
      <c r="GM3" s="2">
        <f t="shared" ca="1" si="6"/>
        <v>43859</v>
      </c>
      <c r="GN3" s="2">
        <f t="shared" ca="1" si="6"/>
        <v>43858</v>
      </c>
      <c r="GO3" s="2">
        <f t="shared" ca="1" si="6"/>
        <v>43857</v>
      </c>
      <c r="GP3" s="2">
        <f t="shared" ca="1" si="6"/>
        <v>43854</v>
      </c>
      <c r="GQ3" s="2">
        <f t="shared" ca="1" si="6"/>
        <v>43853</v>
      </c>
      <c r="GR3" s="2">
        <f t="shared" ref="GR3:JB3" ca="1" si="7">WORKDAY(GQ3,-1)</f>
        <v>43852</v>
      </c>
      <c r="GS3" s="2">
        <f t="shared" ca="1" si="7"/>
        <v>43851</v>
      </c>
      <c r="GT3" s="2">
        <f t="shared" ca="1" si="7"/>
        <v>43850</v>
      </c>
      <c r="GU3" s="2">
        <f t="shared" ca="1" si="7"/>
        <v>43847</v>
      </c>
      <c r="GV3" s="2">
        <f t="shared" ca="1" si="7"/>
        <v>43846</v>
      </c>
      <c r="GW3" s="2">
        <f t="shared" ca="1" si="7"/>
        <v>43845</v>
      </c>
      <c r="GX3" s="2">
        <f t="shared" ca="1" si="7"/>
        <v>43844</v>
      </c>
      <c r="GY3" s="2">
        <f t="shared" ca="1" si="7"/>
        <v>43843</v>
      </c>
      <c r="GZ3" s="2">
        <f t="shared" ca="1" si="7"/>
        <v>43840</v>
      </c>
      <c r="HA3" s="2">
        <f t="shared" ca="1" si="7"/>
        <v>43839</v>
      </c>
      <c r="HB3" s="2">
        <f t="shared" ca="1" si="7"/>
        <v>43838</v>
      </c>
      <c r="HC3" s="2">
        <f t="shared" ca="1" si="7"/>
        <v>43837</v>
      </c>
      <c r="HD3" s="2">
        <f t="shared" ca="1" si="7"/>
        <v>43836</v>
      </c>
      <c r="HE3" s="2">
        <f t="shared" ca="1" si="7"/>
        <v>43833</v>
      </c>
      <c r="HF3" s="2">
        <f t="shared" ca="1" si="7"/>
        <v>43832</v>
      </c>
      <c r="HG3" s="2">
        <f t="shared" ca="1" si="7"/>
        <v>43831</v>
      </c>
      <c r="HH3" s="2">
        <f t="shared" ca="1" si="7"/>
        <v>43830</v>
      </c>
      <c r="HI3" s="2">
        <f t="shared" ca="1" si="7"/>
        <v>43829</v>
      </c>
      <c r="HJ3" s="2">
        <f t="shared" ca="1" si="7"/>
        <v>43826</v>
      </c>
      <c r="HK3" s="2">
        <f t="shared" ca="1" si="7"/>
        <v>43825</v>
      </c>
      <c r="HL3" s="2">
        <f t="shared" ca="1" si="7"/>
        <v>43824</v>
      </c>
      <c r="HM3" s="2">
        <f t="shared" ca="1" si="7"/>
        <v>43823</v>
      </c>
      <c r="HN3" s="2">
        <f t="shared" ca="1" si="7"/>
        <v>43822</v>
      </c>
      <c r="HO3" s="2">
        <f t="shared" ca="1" si="7"/>
        <v>43819</v>
      </c>
      <c r="HP3" s="2">
        <f t="shared" ca="1" si="7"/>
        <v>43818</v>
      </c>
      <c r="HQ3" s="2">
        <f t="shared" ca="1" si="7"/>
        <v>43817</v>
      </c>
      <c r="HR3" s="2">
        <f t="shared" ca="1" si="7"/>
        <v>43816</v>
      </c>
      <c r="HS3" s="2">
        <f t="shared" ca="1" si="7"/>
        <v>43815</v>
      </c>
      <c r="HT3" s="2">
        <f t="shared" ca="1" si="7"/>
        <v>43812</v>
      </c>
      <c r="HU3" s="2">
        <f t="shared" ca="1" si="7"/>
        <v>43811</v>
      </c>
      <c r="HV3" s="2">
        <f t="shared" ca="1" si="7"/>
        <v>43810</v>
      </c>
      <c r="HW3" s="2">
        <f t="shared" ca="1" si="7"/>
        <v>43809</v>
      </c>
      <c r="HX3" s="2">
        <f t="shared" ca="1" si="7"/>
        <v>43808</v>
      </c>
      <c r="HY3" s="2">
        <f t="shared" ca="1" si="7"/>
        <v>43805</v>
      </c>
      <c r="HZ3" s="2">
        <f t="shared" ca="1" si="7"/>
        <v>43804</v>
      </c>
      <c r="IA3" s="2">
        <f t="shared" ca="1" si="7"/>
        <v>43803</v>
      </c>
      <c r="IB3" s="2">
        <f t="shared" ca="1" si="7"/>
        <v>43802</v>
      </c>
      <c r="IC3" s="2">
        <f t="shared" ca="1" si="7"/>
        <v>43801</v>
      </c>
      <c r="ID3" s="2">
        <f t="shared" ca="1" si="7"/>
        <v>43798</v>
      </c>
      <c r="IE3" s="2">
        <f t="shared" ca="1" si="7"/>
        <v>43797</v>
      </c>
      <c r="IF3" s="2">
        <f t="shared" ca="1" si="7"/>
        <v>43796</v>
      </c>
      <c r="IG3" s="2">
        <f t="shared" ca="1" si="7"/>
        <v>43795</v>
      </c>
      <c r="IH3" s="2">
        <f t="shared" ca="1" si="7"/>
        <v>43794</v>
      </c>
      <c r="II3" s="2">
        <f t="shared" ca="1" si="7"/>
        <v>43791</v>
      </c>
      <c r="IJ3" s="2">
        <f t="shared" ca="1" si="7"/>
        <v>43790</v>
      </c>
      <c r="IK3" s="2">
        <f t="shared" ca="1" si="7"/>
        <v>43789</v>
      </c>
      <c r="IL3" s="2">
        <f t="shared" ca="1" si="7"/>
        <v>43788</v>
      </c>
      <c r="IM3" s="2">
        <f t="shared" ca="1" si="7"/>
        <v>43787</v>
      </c>
      <c r="IN3" s="2">
        <f t="shared" ca="1" si="7"/>
        <v>43784</v>
      </c>
      <c r="IO3" s="2">
        <f t="shared" ca="1" si="7"/>
        <v>43783</v>
      </c>
      <c r="IP3" s="2">
        <f t="shared" ca="1" si="7"/>
        <v>43782</v>
      </c>
      <c r="IQ3" s="2">
        <f t="shared" ca="1" si="7"/>
        <v>43781</v>
      </c>
      <c r="IR3" s="2">
        <f t="shared" ca="1" si="7"/>
        <v>43780</v>
      </c>
      <c r="IS3" s="2">
        <f t="shared" ca="1" si="7"/>
        <v>43777</v>
      </c>
      <c r="IT3" s="2">
        <f t="shared" ca="1" si="7"/>
        <v>43776</v>
      </c>
      <c r="IU3" s="2">
        <f t="shared" ca="1" si="7"/>
        <v>43775</v>
      </c>
      <c r="IV3" s="2">
        <f t="shared" ca="1" si="7"/>
        <v>43774</v>
      </c>
      <c r="IW3" s="2">
        <f t="shared" ca="1" si="7"/>
        <v>43773</v>
      </c>
      <c r="IX3" s="2">
        <f t="shared" ca="1" si="7"/>
        <v>43770</v>
      </c>
      <c r="IY3" s="2">
        <f t="shared" ca="1" si="7"/>
        <v>43769</v>
      </c>
      <c r="IZ3" s="2">
        <f t="shared" ca="1" si="7"/>
        <v>43768</v>
      </c>
      <c r="JA3" s="2">
        <f t="shared" ca="1" si="7"/>
        <v>43767</v>
      </c>
      <c r="JB3" s="2">
        <f t="shared" ca="1" si="7"/>
        <v>43766</v>
      </c>
      <c r="JC3" s="2">
        <f ca="1">WORKDAY(JB3,-1)</f>
        <v>43763</v>
      </c>
      <c r="JD3" t="s">
        <v>45</v>
      </c>
    </row>
    <row r="4" spans="1:264" x14ac:dyDescent="0.25">
      <c r="A4" s="4" t="s">
        <v>1</v>
      </c>
      <c r="F4" t="s">
        <v>39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t="s">
        <v>45</v>
      </c>
    </row>
    <row r="5" spans="1:264" x14ac:dyDescent="0.25">
      <c r="A5" s="4" t="s">
        <v>2</v>
      </c>
      <c r="B5" t="s">
        <v>34</v>
      </c>
      <c r="C5" t="s">
        <v>37</v>
      </c>
      <c r="D5" t="s">
        <v>43</v>
      </c>
      <c r="E5" t="s">
        <v>58</v>
      </c>
      <c r="F5" t="s">
        <v>39</v>
      </c>
      <c r="G5" s="3">
        <f ca="1">_xll.BDH(A5&amp;" corp",D5,TODAY()-365,TODAY(),"pcs="&amp;B5,"dir=h","dates=h","sort=r","fill=-","cols=32;rows=1")</f>
        <v>255.922</v>
      </c>
      <c r="H5" s="1">
        <v>258.86500000000001</v>
      </c>
      <c r="I5" s="1">
        <v>259.10599999999999</v>
      </c>
      <c r="J5" s="1">
        <v>251.435</v>
      </c>
      <c r="K5" s="1">
        <v>250.023</v>
      </c>
      <c r="L5" s="1">
        <v>249.375</v>
      </c>
      <c r="M5" s="1">
        <v>249.70099999999999</v>
      </c>
      <c r="N5" s="1">
        <v>248.24100000000001</v>
      </c>
      <c r="O5" s="1">
        <v>246.28800000000001</v>
      </c>
      <c r="P5" s="1">
        <v>246.47399999999999</v>
      </c>
      <c r="Q5" s="1">
        <v>252.08799999999999</v>
      </c>
      <c r="R5" s="1">
        <v>256.91800000000001</v>
      </c>
      <c r="S5" s="1">
        <v>257.71899999999999</v>
      </c>
      <c r="T5" s="1">
        <v>263.541</v>
      </c>
      <c r="U5" s="1">
        <v>271.721</v>
      </c>
      <c r="V5" s="1">
        <v>273.577</v>
      </c>
      <c r="W5" s="1">
        <v>276.685</v>
      </c>
      <c r="X5" s="1">
        <v>270.40100000000001</v>
      </c>
      <c r="Y5" s="1">
        <v>261.89400000000001</v>
      </c>
      <c r="Z5" s="1">
        <v>264.94499999999999</v>
      </c>
      <c r="AA5" s="1">
        <v>261.09899999999999</v>
      </c>
      <c r="AB5" s="1">
        <v>248.923</v>
      </c>
      <c r="AC5" s="1">
        <v>252.08799999999999</v>
      </c>
      <c r="AD5" s="1">
        <v>252.37200000000001</v>
      </c>
      <c r="AE5" s="1">
        <v>257.30900000000003</v>
      </c>
      <c r="AF5" s="1">
        <v>259.35300000000001</v>
      </c>
      <c r="AG5" s="1">
        <v>260.70299999999997</v>
      </c>
      <c r="AH5" s="1">
        <v>256.10399999999998</v>
      </c>
      <c r="AI5" s="1">
        <v>259.19900000000001</v>
      </c>
      <c r="AJ5" s="1">
        <v>258.58800000000002</v>
      </c>
      <c r="AK5" s="1">
        <v>253.232</v>
      </c>
      <c r="AL5" s="1">
        <v>253.09299999999999</v>
      </c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t="s">
        <v>45</v>
      </c>
    </row>
    <row r="6" spans="1:264" x14ac:dyDescent="0.25">
      <c r="A6" s="4" t="s">
        <v>3</v>
      </c>
      <c r="B6" t="s">
        <v>34</v>
      </c>
      <c r="C6" t="s">
        <v>37</v>
      </c>
      <c r="D6" t="s">
        <v>43</v>
      </c>
      <c r="E6" t="s">
        <v>58</v>
      </c>
      <c r="F6" t="s">
        <v>39</v>
      </c>
      <c r="G6" s="3">
        <f ca="1">_xll.BDH(A6&amp;" corp",D6,TODAY()-365,TODAY(),"pcs="&amp;B6,"dir=h","dates=h","sort=r","fill=-","cols=256;rows=1")</f>
        <v>335.71899999999999</v>
      </c>
      <c r="H6" s="1">
        <v>341.678</v>
      </c>
      <c r="I6" s="1">
        <v>352.47699999999998</v>
      </c>
      <c r="J6" s="1">
        <v>332.93700000000001</v>
      </c>
      <c r="K6" s="1">
        <v>320.827</v>
      </c>
      <c r="L6" s="1">
        <v>316.57900000000001</v>
      </c>
      <c r="M6" s="1">
        <v>323.06799999999998</v>
      </c>
      <c r="N6" s="1">
        <v>317.01</v>
      </c>
      <c r="O6" s="1">
        <v>310.41300000000001</v>
      </c>
      <c r="P6" s="1">
        <v>311.041</v>
      </c>
      <c r="Q6" s="1">
        <v>323.22199999999998</v>
      </c>
      <c r="R6" s="1">
        <v>329.05099999999999</v>
      </c>
      <c r="S6" s="1">
        <v>326.57499999999999</v>
      </c>
      <c r="T6" s="1">
        <v>335.42700000000002</v>
      </c>
      <c r="U6" s="1">
        <v>344.07299999999998</v>
      </c>
      <c r="V6" s="1">
        <v>352.767</v>
      </c>
      <c r="W6" s="1">
        <v>363.88799999999998</v>
      </c>
      <c r="X6" s="1">
        <v>354.78899999999999</v>
      </c>
      <c r="Y6" s="1">
        <v>336.17099999999999</v>
      </c>
      <c r="Z6" s="1">
        <v>341.16899999999998</v>
      </c>
      <c r="AA6" s="1">
        <v>341.28</v>
      </c>
      <c r="AB6" s="1">
        <v>313.90899999999999</v>
      </c>
      <c r="AC6" s="1">
        <v>316.89800000000002</v>
      </c>
      <c r="AD6" s="1">
        <v>325.91800000000001</v>
      </c>
      <c r="AE6" s="1">
        <v>344.959</v>
      </c>
      <c r="AF6" s="1">
        <v>350.54</v>
      </c>
      <c r="AG6" s="1">
        <v>344.11900000000003</v>
      </c>
      <c r="AH6" s="1">
        <v>336.07499999999999</v>
      </c>
      <c r="AI6" s="1">
        <v>338.19499999999999</v>
      </c>
      <c r="AJ6" s="1">
        <v>331.42599999999999</v>
      </c>
      <c r="AK6" s="1">
        <v>327.24599999999998</v>
      </c>
      <c r="AL6" s="1">
        <v>326.66399999999999</v>
      </c>
      <c r="AM6" s="1">
        <v>321.05</v>
      </c>
      <c r="AN6" s="1">
        <v>321.82400000000001</v>
      </c>
      <c r="AO6" s="1">
        <v>325.33499999999998</v>
      </c>
      <c r="AP6" s="1">
        <v>331.68299999999999</v>
      </c>
      <c r="AQ6" s="1">
        <v>327.017</v>
      </c>
      <c r="AR6" s="1">
        <v>325.233</v>
      </c>
      <c r="AS6" s="1">
        <v>324.66300000000001</v>
      </c>
      <c r="AT6" s="1">
        <v>323.56299999999999</v>
      </c>
      <c r="AU6" s="1">
        <v>334.87200000000001</v>
      </c>
      <c r="AV6" s="1">
        <v>347.30399999999997</v>
      </c>
      <c r="AW6" s="1">
        <v>346.995</v>
      </c>
      <c r="AX6" s="1">
        <v>346.29399999999998</v>
      </c>
      <c r="AY6" s="1">
        <v>344.53300000000002</v>
      </c>
      <c r="AZ6" s="1">
        <v>340.67200000000003</v>
      </c>
      <c r="BA6" s="1">
        <v>341.697</v>
      </c>
      <c r="BB6" s="1">
        <v>335.29599999999999</v>
      </c>
      <c r="BC6" s="1">
        <v>337.34500000000003</v>
      </c>
      <c r="BD6" s="1">
        <v>341.47699999999998</v>
      </c>
      <c r="BE6" s="1">
        <v>353.59699999999998</v>
      </c>
      <c r="BF6" s="1">
        <v>359.822</v>
      </c>
      <c r="BG6" s="1">
        <v>360.755</v>
      </c>
      <c r="BH6" s="1">
        <v>360.31900000000002</v>
      </c>
      <c r="BI6" s="1">
        <v>364.96300000000002</v>
      </c>
      <c r="BJ6" s="1">
        <v>369.76499999999999</v>
      </c>
      <c r="BK6" s="1">
        <v>364.72699999999998</v>
      </c>
      <c r="BL6" s="1">
        <v>355.94600000000003</v>
      </c>
      <c r="BM6" s="1">
        <v>334.54</v>
      </c>
      <c r="BN6" s="1">
        <v>326.24299999999999</v>
      </c>
      <c r="BO6" s="1">
        <v>319.93</v>
      </c>
      <c r="BP6" s="1">
        <v>316.815</v>
      </c>
      <c r="BQ6" s="1">
        <v>318.65699999999998</v>
      </c>
      <c r="BR6" s="1">
        <v>318.363</v>
      </c>
      <c r="BS6" s="1">
        <v>313.60700000000003</v>
      </c>
      <c r="BT6" s="1">
        <v>339.678</v>
      </c>
      <c r="BU6" s="1">
        <v>355.55599999999998</v>
      </c>
      <c r="BV6" s="1">
        <v>357.22500000000002</v>
      </c>
      <c r="BW6" s="1">
        <v>359.37099999999998</v>
      </c>
      <c r="BX6" s="1">
        <v>367.072</v>
      </c>
      <c r="BY6" s="1">
        <v>368.03100000000001</v>
      </c>
      <c r="BZ6" s="1">
        <v>370.34500000000003</v>
      </c>
      <c r="CA6" s="1">
        <v>357.96199999999999</v>
      </c>
      <c r="CB6" s="1">
        <v>352.52699999999999</v>
      </c>
      <c r="CC6" s="1">
        <v>345.95400000000001</v>
      </c>
      <c r="CD6" s="1">
        <v>345.21100000000001</v>
      </c>
      <c r="CE6" s="1">
        <v>367.76400000000001</v>
      </c>
      <c r="CF6" s="1">
        <v>377.75799999999998</v>
      </c>
      <c r="CG6" s="1">
        <v>389.19600000000003</v>
      </c>
      <c r="CH6" s="1">
        <v>400.15100000000001</v>
      </c>
      <c r="CI6" s="1">
        <v>404.96</v>
      </c>
      <c r="CJ6" s="1">
        <v>408.02300000000002</v>
      </c>
      <c r="CK6" s="1">
        <v>401.93299999999999</v>
      </c>
      <c r="CL6" s="1">
        <v>399.12200000000001</v>
      </c>
      <c r="CM6" s="1">
        <v>396.17200000000003</v>
      </c>
      <c r="CN6" s="1">
        <v>401.97800000000001</v>
      </c>
      <c r="CO6" s="1">
        <v>387.79300000000001</v>
      </c>
      <c r="CP6" s="1">
        <v>388.67899999999997</v>
      </c>
      <c r="CQ6" s="1">
        <v>378.82799999999997</v>
      </c>
      <c r="CR6" s="1">
        <v>365.97500000000002</v>
      </c>
      <c r="CS6" s="1">
        <v>398.90800000000002</v>
      </c>
      <c r="CT6" s="1">
        <v>391.35300000000001</v>
      </c>
      <c r="CU6" s="1">
        <v>396.90800000000002</v>
      </c>
      <c r="CV6" s="1">
        <v>355.827</v>
      </c>
      <c r="CW6" s="1">
        <v>316.05</v>
      </c>
      <c r="CX6" s="1">
        <v>289.49</v>
      </c>
      <c r="CY6" s="1">
        <v>309.85000000000002</v>
      </c>
      <c r="CZ6" s="1">
        <v>348.41800000000001</v>
      </c>
      <c r="DA6" s="1">
        <v>358.26799999999997</v>
      </c>
      <c r="DB6" s="1">
        <v>378.47500000000002</v>
      </c>
      <c r="DC6" s="1">
        <v>379.10500000000002</v>
      </c>
      <c r="DD6" s="1">
        <v>376.55700000000002</v>
      </c>
      <c r="DE6" s="1">
        <v>363.94799999999998</v>
      </c>
      <c r="DF6" s="1">
        <v>355.53500000000003</v>
      </c>
      <c r="DG6" s="1">
        <v>369.30799999999999</v>
      </c>
      <c r="DH6" s="1">
        <v>431.56299999999999</v>
      </c>
      <c r="DI6" s="1">
        <v>398.70600000000002</v>
      </c>
      <c r="DJ6" s="1">
        <v>393.75400000000002</v>
      </c>
      <c r="DK6" s="1">
        <v>400.37299999999999</v>
      </c>
      <c r="DL6" s="1">
        <v>417.17500000000001</v>
      </c>
      <c r="DM6" s="1">
        <v>442.63799999999998</v>
      </c>
      <c r="DN6" s="1">
        <v>456.44400000000002</v>
      </c>
      <c r="DO6" s="1">
        <v>448.49099999999999</v>
      </c>
      <c r="DP6" s="1">
        <v>427.733</v>
      </c>
      <c r="DQ6" s="1">
        <v>406.97699999999998</v>
      </c>
      <c r="DR6" s="1">
        <v>397.63600000000002</v>
      </c>
      <c r="DS6" s="1">
        <v>416.89</v>
      </c>
      <c r="DT6" s="1">
        <v>397.14</v>
      </c>
      <c r="DU6" s="1">
        <v>434.666</v>
      </c>
      <c r="DV6" s="1">
        <v>443.31700000000001</v>
      </c>
      <c r="DW6" s="1">
        <v>451.77100000000002</v>
      </c>
      <c r="DX6" s="1">
        <v>458.22699999999998</v>
      </c>
      <c r="DY6" s="1">
        <v>407.74900000000002</v>
      </c>
      <c r="DZ6" s="1">
        <v>414.25099999999998</v>
      </c>
      <c r="EA6" s="1">
        <v>376.68599999999998</v>
      </c>
      <c r="EB6" s="1">
        <v>360.62099999999998</v>
      </c>
      <c r="EC6" s="1">
        <v>379.04300000000001</v>
      </c>
      <c r="ED6" s="1">
        <v>388.642</v>
      </c>
      <c r="EE6" s="1">
        <v>413.95600000000002</v>
      </c>
      <c r="EF6" s="1">
        <v>407.17500000000001</v>
      </c>
      <c r="EG6" s="1">
        <v>384.21300000000002</v>
      </c>
      <c r="EH6" s="1">
        <v>369.589</v>
      </c>
      <c r="EI6" s="1">
        <v>368.30500000000001</v>
      </c>
      <c r="EJ6" s="1">
        <v>334.565</v>
      </c>
      <c r="EK6" s="1">
        <v>322.69499999999999</v>
      </c>
      <c r="EL6" s="1">
        <v>373.02199999999999</v>
      </c>
      <c r="EM6" s="1">
        <v>443.82799999999997</v>
      </c>
      <c r="EN6" s="1">
        <v>479.39499999999998</v>
      </c>
      <c r="EO6" s="1">
        <v>531.88900000000001</v>
      </c>
      <c r="EP6" s="1">
        <v>542.03499999999997</v>
      </c>
      <c r="EQ6" s="1">
        <v>534.22199999999998</v>
      </c>
      <c r="ER6" s="1">
        <v>530.12699999999995</v>
      </c>
      <c r="ES6" s="1">
        <v>525.03</v>
      </c>
      <c r="ET6" s="1">
        <v>530.4</v>
      </c>
      <c r="EU6" s="1">
        <v>522.89499999999998</v>
      </c>
      <c r="EV6" s="1">
        <v>545.12099999999998</v>
      </c>
      <c r="EW6" s="1">
        <v>565.33000000000004</v>
      </c>
      <c r="EX6" s="1">
        <v>681.31500000000005</v>
      </c>
      <c r="EY6" s="1">
        <v>710.07600000000002</v>
      </c>
      <c r="EZ6" s="1">
        <v>673.26900000000001</v>
      </c>
      <c r="FA6" s="1">
        <v>719.49900000000002</v>
      </c>
      <c r="FB6" s="1">
        <v>708.23500000000001</v>
      </c>
      <c r="FC6" s="1">
        <v>601.73099999999999</v>
      </c>
      <c r="FD6" s="1">
        <v>530.73500000000001</v>
      </c>
      <c r="FE6" s="1">
        <v>438.21199999999999</v>
      </c>
      <c r="FF6" s="1">
        <v>416.91800000000001</v>
      </c>
      <c r="FG6" s="1">
        <v>331.78800000000001</v>
      </c>
      <c r="FH6" s="1">
        <v>316.70699999999999</v>
      </c>
      <c r="FI6" s="1">
        <v>330.36900000000003</v>
      </c>
      <c r="FJ6" s="1">
        <v>264.21600000000001</v>
      </c>
      <c r="FK6" s="1">
        <v>233.87899999999999</v>
      </c>
      <c r="FL6" s="1">
        <v>215.69900000000001</v>
      </c>
      <c r="FM6" s="1">
        <v>218.04499999999999</v>
      </c>
      <c r="FN6" s="1">
        <v>251.53899999999999</v>
      </c>
      <c r="FO6" s="1">
        <v>257.18200000000002</v>
      </c>
      <c r="FP6" s="1">
        <v>228.42400000000001</v>
      </c>
      <c r="FQ6" s="1">
        <v>213.471</v>
      </c>
      <c r="FR6" s="1">
        <v>203.596</v>
      </c>
      <c r="FS6" s="1">
        <v>193.02099999999999</v>
      </c>
      <c r="FT6" s="1">
        <v>170.684</v>
      </c>
      <c r="FU6" s="1">
        <v>172.376</v>
      </c>
      <c r="FV6" s="1">
        <v>177.94300000000001</v>
      </c>
      <c r="FW6" s="1">
        <v>180.60499999999999</v>
      </c>
      <c r="FX6" s="1">
        <v>180.14099999999999</v>
      </c>
      <c r="FY6" s="1">
        <v>182.55799999999999</v>
      </c>
      <c r="FZ6" s="1">
        <v>184.81299999999999</v>
      </c>
      <c r="GA6" s="1">
        <v>183.92599999999999</v>
      </c>
      <c r="GB6" s="1">
        <v>187.15100000000001</v>
      </c>
      <c r="GC6" s="1">
        <v>194.25</v>
      </c>
      <c r="GD6" s="1">
        <v>189.435</v>
      </c>
      <c r="GE6" s="1">
        <v>186.97</v>
      </c>
      <c r="GF6" s="1">
        <v>190.733</v>
      </c>
      <c r="GG6" s="1">
        <v>193.11600000000001</v>
      </c>
      <c r="GH6" s="1">
        <v>200.46299999999999</v>
      </c>
      <c r="GI6" s="1">
        <v>198.5</v>
      </c>
      <c r="GJ6" s="1">
        <v>197.398</v>
      </c>
      <c r="GK6" s="1">
        <v>192.64599999999999</v>
      </c>
      <c r="GL6" s="1">
        <v>196.95699999999999</v>
      </c>
      <c r="GM6" s="1">
        <v>209.99600000000001</v>
      </c>
      <c r="GN6" s="1">
        <v>194.68100000000001</v>
      </c>
      <c r="GO6" s="1">
        <v>186.99700000000001</v>
      </c>
      <c r="GP6" s="1">
        <v>178.44</v>
      </c>
      <c r="GQ6" s="1">
        <v>173.09</v>
      </c>
      <c r="GR6" s="1">
        <v>170.828</v>
      </c>
      <c r="GS6" s="1">
        <v>179.208</v>
      </c>
      <c r="GT6" s="1">
        <v>184.95400000000001</v>
      </c>
      <c r="GU6" s="1">
        <v>188.90299999999999</v>
      </c>
      <c r="GV6" s="1">
        <v>189.476</v>
      </c>
      <c r="GW6" s="1">
        <v>188.93100000000001</v>
      </c>
      <c r="GX6" s="1">
        <v>191.52799999999999</v>
      </c>
      <c r="GY6" s="1">
        <v>193.965</v>
      </c>
      <c r="GZ6" s="1">
        <v>200.14500000000001</v>
      </c>
      <c r="HA6" s="1">
        <v>193.66900000000001</v>
      </c>
      <c r="HB6" s="1">
        <v>187.268</v>
      </c>
      <c r="HC6" s="1">
        <v>177.053</v>
      </c>
      <c r="HD6" s="1">
        <v>172.607</v>
      </c>
      <c r="HE6" s="1">
        <v>171.667</v>
      </c>
      <c r="HF6" s="1">
        <v>168.12</v>
      </c>
      <c r="HG6" s="1">
        <v>172.04900000000001</v>
      </c>
      <c r="HH6" s="1">
        <v>173.19300000000001</v>
      </c>
      <c r="HI6" s="1">
        <v>170.869</v>
      </c>
      <c r="HJ6" s="1">
        <v>175.81200000000001</v>
      </c>
      <c r="HK6" s="1">
        <v>175.65799999999999</v>
      </c>
      <c r="HL6" s="1">
        <v>175.53</v>
      </c>
      <c r="HM6" s="1">
        <v>176.98099999999999</v>
      </c>
      <c r="HN6" s="1">
        <v>174.321</v>
      </c>
      <c r="HO6" s="1">
        <v>175.99600000000001</v>
      </c>
      <c r="HP6" s="1">
        <v>183.52799999999999</v>
      </c>
      <c r="HQ6" s="1">
        <v>183.17599999999999</v>
      </c>
      <c r="HR6" s="1">
        <v>180.102</v>
      </c>
      <c r="HS6" s="1">
        <v>184.78899999999999</v>
      </c>
      <c r="HT6" s="1">
        <v>193.03200000000001</v>
      </c>
      <c r="HU6" s="1">
        <v>198.376</v>
      </c>
      <c r="HV6" s="1">
        <v>210.42699999999999</v>
      </c>
      <c r="HW6" s="1">
        <v>212.2</v>
      </c>
      <c r="HX6" s="1">
        <v>202.506</v>
      </c>
      <c r="HY6" s="1">
        <v>199.56399999999999</v>
      </c>
      <c r="HZ6" s="1">
        <v>207.87299999999999</v>
      </c>
      <c r="IA6" s="1">
        <v>219.97</v>
      </c>
      <c r="IB6" s="1">
        <v>225.11199999999999</v>
      </c>
      <c r="IC6" s="1">
        <v>232.77799999999999</v>
      </c>
      <c r="ID6" s="1">
        <v>249.517</v>
      </c>
      <c r="IE6" s="1">
        <v>255.05199999999999</v>
      </c>
      <c r="IF6" s="1">
        <v>254.74100000000001</v>
      </c>
      <c r="IG6" s="1">
        <v>245.98500000000001</v>
      </c>
      <c r="IH6" s="1">
        <v>244.09200000000001</v>
      </c>
      <c r="II6" s="1">
        <v>245.19</v>
      </c>
      <c r="IJ6" s="1">
        <v>243.07900000000001</v>
      </c>
      <c r="IK6" s="1">
        <v>242.149</v>
      </c>
      <c r="IL6" s="1">
        <v>236.483</v>
      </c>
      <c r="IM6" s="1">
        <v>236.03899999999999</v>
      </c>
      <c r="IN6" s="1">
        <v>230.73699999999999</v>
      </c>
      <c r="IO6" s="1">
        <v>220.226</v>
      </c>
      <c r="IP6" s="1">
        <v>219.66</v>
      </c>
      <c r="IQ6" s="1">
        <v>218.24199999999999</v>
      </c>
      <c r="IR6" s="1">
        <v>224.06399999999999</v>
      </c>
      <c r="IS6" s="1">
        <v>231.756</v>
      </c>
      <c r="IT6" s="1">
        <v>232.54599999999999</v>
      </c>
      <c r="IU6" s="1">
        <v>227.744</v>
      </c>
      <c r="IV6" s="1">
        <v>222.92</v>
      </c>
      <c r="IW6" s="1">
        <v>213.416</v>
      </c>
      <c r="IX6" s="1">
        <v>214.49199999999999</v>
      </c>
      <c r="IY6" s="1">
        <v>216.49199999999999</v>
      </c>
      <c r="IZ6" s="1">
        <v>223.29900000000001</v>
      </c>
      <c r="JA6" s="1">
        <v>228.75</v>
      </c>
      <c r="JB6" s="1">
        <v>234.108</v>
      </c>
      <c r="JC6" s="1"/>
      <c r="JD6" t="s">
        <v>45</v>
      </c>
    </row>
    <row r="7" spans="1:264" x14ac:dyDescent="0.25">
      <c r="A7" s="4" t="s">
        <v>4</v>
      </c>
      <c r="B7" t="s">
        <v>34</v>
      </c>
      <c r="C7" t="s">
        <v>37</v>
      </c>
      <c r="D7" t="s">
        <v>43</v>
      </c>
      <c r="F7" t="s">
        <v>39</v>
      </c>
      <c r="G7" s="3">
        <f ca="1">_xll.BDH(A7&amp;" corp",D7,TODAY()-365,TODAY(),"pcs="&amp;B7,"dir=h","dates=h","sort=r","fill=-","cols=67;rows=1")</f>
        <v>247.97200000000001</v>
      </c>
      <c r="H7" s="1">
        <v>250.43600000000001</v>
      </c>
      <c r="I7" s="1">
        <v>250.315</v>
      </c>
      <c r="J7" s="1">
        <v>245.36799999999999</v>
      </c>
      <c r="K7" s="1">
        <v>243.751</v>
      </c>
      <c r="L7" s="1">
        <v>242.32900000000001</v>
      </c>
      <c r="M7" s="1">
        <v>241.21700000000001</v>
      </c>
      <c r="N7" s="1">
        <v>239.833</v>
      </c>
      <c r="O7" s="1">
        <v>235.755</v>
      </c>
      <c r="P7" s="1">
        <v>235.702</v>
      </c>
      <c r="Q7" s="1">
        <v>240.428</v>
      </c>
      <c r="R7" s="1">
        <v>243.75800000000001</v>
      </c>
      <c r="S7" s="1">
        <v>243.24100000000001</v>
      </c>
      <c r="T7" s="1">
        <v>246.51300000000001</v>
      </c>
      <c r="U7" s="1">
        <v>252.51400000000001</v>
      </c>
      <c r="V7" s="1">
        <v>258.37099999999998</v>
      </c>
      <c r="W7" s="1">
        <v>262.68299999999999</v>
      </c>
      <c r="X7" s="1">
        <v>259.27699999999999</v>
      </c>
      <c r="Y7" s="1">
        <v>252.46199999999999</v>
      </c>
      <c r="Z7" s="1">
        <v>254.69399999999999</v>
      </c>
      <c r="AA7" s="1">
        <v>255.006</v>
      </c>
      <c r="AB7" s="1">
        <v>246.16900000000001</v>
      </c>
      <c r="AC7" s="1">
        <v>246.114</v>
      </c>
      <c r="AD7" s="1">
        <v>245.376</v>
      </c>
      <c r="AE7" s="1">
        <v>245.40899999999999</v>
      </c>
      <c r="AF7" s="1">
        <v>246.51</v>
      </c>
      <c r="AG7" s="1">
        <v>242.66900000000001</v>
      </c>
      <c r="AH7" s="1">
        <v>235.18299999999999</v>
      </c>
      <c r="AI7" s="1">
        <v>236.255</v>
      </c>
      <c r="AJ7" s="1">
        <v>236.17</v>
      </c>
      <c r="AK7" s="1">
        <v>230.69499999999999</v>
      </c>
      <c r="AL7" s="1">
        <v>230.83199999999999</v>
      </c>
      <c r="AM7" s="1">
        <v>229.59399999999999</v>
      </c>
      <c r="AN7" s="1">
        <v>229.8</v>
      </c>
      <c r="AO7" s="1">
        <v>229.58199999999999</v>
      </c>
      <c r="AP7" s="1">
        <v>230.25800000000001</v>
      </c>
      <c r="AQ7" s="1">
        <v>228.965</v>
      </c>
      <c r="AR7" s="1">
        <v>226.46</v>
      </c>
      <c r="AS7" s="1">
        <v>222.15700000000001</v>
      </c>
      <c r="AT7" s="1">
        <v>220.339</v>
      </c>
      <c r="AU7" s="1">
        <v>223.34399999999999</v>
      </c>
      <c r="AV7" s="1">
        <v>227.166</v>
      </c>
      <c r="AW7" s="1">
        <v>226.85499999999999</v>
      </c>
      <c r="AX7" s="1">
        <v>224.386</v>
      </c>
      <c r="AY7" s="1">
        <v>224.059</v>
      </c>
      <c r="AZ7" s="1">
        <v>222.446</v>
      </c>
      <c r="BA7" s="1">
        <v>219.62200000000001</v>
      </c>
      <c r="BB7" s="1">
        <v>217.12899999999999</v>
      </c>
      <c r="BC7" s="1">
        <v>219.577</v>
      </c>
      <c r="BD7" s="1">
        <v>223.24799999999999</v>
      </c>
      <c r="BE7" s="1">
        <v>235.19499999999999</v>
      </c>
      <c r="BF7" s="1">
        <v>237.107</v>
      </c>
      <c r="BG7" s="1">
        <v>247.42</v>
      </c>
      <c r="BH7" s="1">
        <v>251.40199999999999</v>
      </c>
      <c r="BI7" s="1">
        <v>257.05700000000002</v>
      </c>
      <c r="BJ7" s="1">
        <v>257.16300000000001</v>
      </c>
      <c r="BK7" s="1">
        <v>257.00900000000001</v>
      </c>
      <c r="BL7" s="1">
        <v>257.53199999999998</v>
      </c>
      <c r="BM7" s="1">
        <v>253.15799999999999</v>
      </c>
      <c r="BN7" s="1">
        <v>254.315</v>
      </c>
      <c r="BO7" s="1">
        <v>253.18</v>
      </c>
      <c r="BP7" s="1">
        <v>252.65299999999999</v>
      </c>
      <c r="BQ7" s="1">
        <v>255.339</v>
      </c>
      <c r="BR7" s="1">
        <v>257.762</v>
      </c>
      <c r="BS7" s="1">
        <v>255.709</v>
      </c>
      <c r="BT7" s="1">
        <v>261.37299999999999</v>
      </c>
      <c r="BU7" s="1">
        <v>264.24200000000002</v>
      </c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t="s">
        <v>45</v>
      </c>
    </row>
    <row r="8" spans="1:264" x14ac:dyDescent="0.25">
      <c r="A8" s="4" t="s">
        <v>5</v>
      </c>
      <c r="B8" t="s">
        <v>34</v>
      </c>
      <c r="C8" t="s">
        <v>37</v>
      </c>
      <c r="D8" t="s">
        <v>43</v>
      </c>
      <c r="F8" t="s">
        <v>39</v>
      </c>
      <c r="G8" s="3">
        <f ca="1">_xll.BDH(A8&amp;" corp",D8,TODAY()-365,TODAY(),"pcs="&amp;B8,"dir=h","dates=h","sort=r","fill=-","cols=257;rows=1")</f>
        <v>219.23599999999999</v>
      </c>
      <c r="H8" s="1">
        <v>221.483</v>
      </c>
      <c r="I8" s="1">
        <v>222.57599999999999</v>
      </c>
      <c r="J8" s="1">
        <v>214.84100000000001</v>
      </c>
      <c r="K8" s="1">
        <v>212.71899999999999</v>
      </c>
      <c r="L8" s="1">
        <v>210.76900000000001</v>
      </c>
      <c r="M8" s="1">
        <v>209.88900000000001</v>
      </c>
      <c r="N8" s="1">
        <v>207.958</v>
      </c>
      <c r="O8" s="1">
        <v>203.59899999999999</v>
      </c>
      <c r="P8" s="1">
        <v>202.33500000000001</v>
      </c>
      <c r="Q8" s="1">
        <v>205.93700000000001</v>
      </c>
      <c r="R8" s="1">
        <v>208.898</v>
      </c>
      <c r="S8" s="1">
        <v>207.16200000000001</v>
      </c>
      <c r="T8" s="1">
        <v>209.637</v>
      </c>
      <c r="U8" s="1">
        <v>214.38499999999999</v>
      </c>
      <c r="V8" s="1">
        <v>214.767</v>
      </c>
      <c r="W8" s="1">
        <v>216.39400000000001</v>
      </c>
      <c r="X8" s="1">
        <v>210.37799999999999</v>
      </c>
      <c r="Y8" s="1">
        <v>203.29400000000001</v>
      </c>
      <c r="Z8" s="1">
        <v>203.755</v>
      </c>
      <c r="AA8" s="1">
        <v>202.34200000000001</v>
      </c>
      <c r="AB8" s="1">
        <v>194.88200000000001</v>
      </c>
      <c r="AC8" s="1">
        <v>195.27799999999999</v>
      </c>
      <c r="AD8" s="1">
        <v>195.65899999999999</v>
      </c>
      <c r="AE8" s="1">
        <v>197.53700000000001</v>
      </c>
      <c r="AF8" s="1">
        <v>197.52799999999999</v>
      </c>
      <c r="AG8" s="1">
        <v>195.77699999999999</v>
      </c>
      <c r="AH8" s="1">
        <v>191.041</v>
      </c>
      <c r="AI8" s="1">
        <v>193.09200000000001</v>
      </c>
      <c r="AJ8" s="1">
        <v>190.79300000000001</v>
      </c>
      <c r="AK8" s="1">
        <v>185.17400000000001</v>
      </c>
      <c r="AL8" s="1">
        <v>184.14699999999999</v>
      </c>
      <c r="AM8" s="1">
        <v>181.86699999999999</v>
      </c>
      <c r="AN8" s="1">
        <v>182.08699999999999</v>
      </c>
      <c r="AO8" s="1">
        <v>182.91900000000001</v>
      </c>
      <c r="AP8" s="1">
        <v>183.38800000000001</v>
      </c>
      <c r="AQ8" s="1">
        <v>182.982</v>
      </c>
      <c r="AR8" s="1">
        <v>181.18899999999999</v>
      </c>
      <c r="AS8" s="1">
        <v>174.06299999999999</v>
      </c>
      <c r="AT8" s="1">
        <v>173.28800000000001</v>
      </c>
      <c r="AU8" s="1">
        <v>177.685</v>
      </c>
      <c r="AV8" s="1">
        <v>180.33</v>
      </c>
      <c r="AW8" s="1">
        <v>178.976</v>
      </c>
      <c r="AX8" s="1">
        <v>176.08</v>
      </c>
      <c r="AY8" s="1">
        <v>175.583</v>
      </c>
      <c r="AZ8" s="1">
        <v>174.02799999999999</v>
      </c>
      <c r="BA8" s="1">
        <v>171.703</v>
      </c>
      <c r="BB8" s="1">
        <v>170.50299999999999</v>
      </c>
      <c r="BC8" s="1">
        <v>174.48699999999999</v>
      </c>
      <c r="BD8" s="1">
        <v>178.44300000000001</v>
      </c>
      <c r="BE8" s="1">
        <v>189.821</v>
      </c>
      <c r="BF8" s="1">
        <v>191.911</v>
      </c>
      <c r="BG8" s="1">
        <v>199.95099999999999</v>
      </c>
      <c r="BH8" s="1">
        <v>201.48500000000001</v>
      </c>
      <c r="BI8" s="1">
        <v>212.315</v>
      </c>
      <c r="BJ8" s="1">
        <v>212.12899999999999</v>
      </c>
      <c r="BK8" s="1">
        <v>211.203</v>
      </c>
      <c r="BL8" s="1">
        <v>211.06299999999999</v>
      </c>
      <c r="BM8" s="1">
        <v>204.75399999999999</v>
      </c>
      <c r="BN8" s="1">
        <v>203.857</v>
      </c>
      <c r="BO8" s="1">
        <v>200.393</v>
      </c>
      <c r="BP8" s="1">
        <v>197.66800000000001</v>
      </c>
      <c r="BQ8" s="1">
        <v>201.08099999999999</v>
      </c>
      <c r="BR8" s="1">
        <v>203.28700000000001</v>
      </c>
      <c r="BS8" s="1">
        <v>200.52699999999999</v>
      </c>
      <c r="BT8" s="1">
        <v>209.136</v>
      </c>
      <c r="BU8" s="1">
        <v>221.37100000000001</v>
      </c>
      <c r="BV8" s="1">
        <v>226.94</v>
      </c>
      <c r="BW8" s="1">
        <v>229.68100000000001</v>
      </c>
      <c r="BX8" s="1">
        <v>235.35300000000001</v>
      </c>
      <c r="BY8" s="1">
        <v>234.93199999999999</v>
      </c>
      <c r="BZ8" s="1">
        <v>238.58099999999999</v>
      </c>
      <c r="CA8" s="1">
        <v>234.041</v>
      </c>
      <c r="CB8" s="1">
        <v>230.68</v>
      </c>
      <c r="CC8" s="1">
        <v>227.958</v>
      </c>
      <c r="CD8" s="1">
        <v>228.334</v>
      </c>
      <c r="CE8" s="1">
        <v>235.66900000000001</v>
      </c>
      <c r="CF8" s="1">
        <v>237.364</v>
      </c>
      <c r="CG8" s="1">
        <v>240.917</v>
      </c>
      <c r="CH8" s="1">
        <v>250.80199999999999</v>
      </c>
      <c r="CI8" s="1">
        <v>258.31299999999999</v>
      </c>
      <c r="CJ8" s="1">
        <v>260.16000000000003</v>
      </c>
      <c r="CK8" s="1">
        <v>261.18700000000001</v>
      </c>
      <c r="CL8" s="1">
        <v>256.548</v>
      </c>
      <c r="CM8" s="1">
        <v>252.17099999999999</v>
      </c>
      <c r="CN8" s="1">
        <v>252.905</v>
      </c>
      <c r="CO8" s="1">
        <v>242.65899999999999</v>
      </c>
      <c r="CP8" s="1">
        <v>241.70099999999999</v>
      </c>
      <c r="CQ8" s="1">
        <v>227.41399999999999</v>
      </c>
      <c r="CR8" s="1">
        <v>210.75399999999999</v>
      </c>
      <c r="CS8" s="1">
        <v>226.28700000000001</v>
      </c>
      <c r="CT8" s="1">
        <v>223.679</v>
      </c>
      <c r="CU8" s="1">
        <v>222.90100000000001</v>
      </c>
      <c r="CV8" s="1">
        <v>208.57499999999999</v>
      </c>
      <c r="CW8" s="1">
        <v>198.34100000000001</v>
      </c>
      <c r="CX8" s="1">
        <v>189.18299999999999</v>
      </c>
      <c r="CY8" s="1">
        <v>192.9</v>
      </c>
      <c r="CZ8" s="1">
        <v>202.441</v>
      </c>
      <c r="DA8" s="1">
        <v>211.47399999999999</v>
      </c>
      <c r="DB8" s="1">
        <v>222.43100000000001</v>
      </c>
      <c r="DC8" s="1">
        <v>223.404</v>
      </c>
      <c r="DD8" s="1">
        <v>224.55500000000001</v>
      </c>
      <c r="DE8" s="1">
        <v>219.08500000000001</v>
      </c>
      <c r="DF8" s="1">
        <v>223.88900000000001</v>
      </c>
      <c r="DG8" s="1">
        <v>234.25700000000001</v>
      </c>
      <c r="DH8" s="1">
        <v>242.905</v>
      </c>
      <c r="DI8" s="1">
        <v>249.78399999999999</v>
      </c>
      <c r="DJ8" s="1">
        <v>252.178</v>
      </c>
      <c r="DK8" s="1">
        <v>257.85599999999999</v>
      </c>
      <c r="DL8" s="1">
        <v>265.73399999999998</v>
      </c>
      <c r="DM8" s="1">
        <v>278.745</v>
      </c>
      <c r="DN8" s="1">
        <v>291.33300000000003</v>
      </c>
      <c r="DO8" s="1">
        <v>294.625</v>
      </c>
      <c r="DP8" s="1">
        <v>288.83800000000002</v>
      </c>
      <c r="DQ8" s="1">
        <v>286.053</v>
      </c>
      <c r="DR8" s="1">
        <v>286.029</v>
      </c>
      <c r="DS8" s="1">
        <v>289.392</v>
      </c>
      <c r="DT8" s="1">
        <v>288.86900000000003</v>
      </c>
      <c r="DU8" s="1">
        <v>291.97199999999998</v>
      </c>
      <c r="DV8" s="1">
        <v>299.22800000000001</v>
      </c>
      <c r="DW8" s="1">
        <v>303.32499999999999</v>
      </c>
      <c r="DX8" s="1">
        <v>293.62</v>
      </c>
      <c r="DY8" s="1">
        <v>289.774</v>
      </c>
      <c r="DZ8" s="1">
        <v>282.00200000000001</v>
      </c>
      <c r="EA8" s="1">
        <v>273.89999999999998</v>
      </c>
      <c r="EB8" s="1">
        <v>264.81799999999998</v>
      </c>
      <c r="EC8" s="1">
        <v>283.84800000000001</v>
      </c>
      <c r="ED8" s="1">
        <v>288.15699999999998</v>
      </c>
      <c r="EE8" s="1">
        <v>310.13</v>
      </c>
      <c r="EF8" s="1">
        <v>325.387</v>
      </c>
      <c r="EG8" s="1">
        <v>282.49599999999998</v>
      </c>
      <c r="EH8" s="1">
        <v>272.30700000000002</v>
      </c>
      <c r="EI8" s="1">
        <v>273.64100000000002</v>
      </c>
      <c r="EJ8" s="1">
        <v>258.80599999999998</v>
      </c>
      <c r="EK8" s="1">
        <v>256.79300000000001</v>
      </c>
      <c r="EL8" s="1">
        <v>257.37599999999998</v>
      </c>
      <c r="EM8" s="1">
        <v>283.09100000000001</v>
      </c>
      <c r="EN8" s="1">
        <v>300.21499999999997</v>
      </c>
      <c r="EO8" s="1">
        <v>306.34699999999998</v>
      </c>
      <c r="EP8" s="1">
        <v>325.76400000000001</v>
      </c>
      <c r="EQ8" s="1">
        <v>329.55099999999999</v>
      </c>
      <c r="ER8" s="1">
        <v>326.60500000000002</v>
      </c>
      <c r="ES8" s="1">
        <v>327.596</v>
      </c>
      <c r="ET8" s="1">
        <v>326.822</v>
      </c>
      <c r="EU8" s="1">
        <v>331.18900000000002</v>
      </c>
      <c r="EV8" s="1">
        <v>328.166</v>
      </c>
      <c r="EW8" s="1">
        <v>330.416</v>
      </c>
      <c r="EX8" s="1">
        <v>340.94299999999998</v>
      </c>
      <c r="EY8" s="1">
        <v>403.53899999999999</v>
      </c>
      <c r="EZ8" s="1">
        <v>426.43299999999999</v>
      </c>
      <c r="FA8" s="1">
        <v>412.11</v>
      </c>
      <c r="FB8" s="1">
        <v>433.16899999999998</v>
      </c>
      <c r="FC8" s="1">
        <v>435.27</v>
      </c>
      <c r="FD8" s="1">
        <v>369.779</v>
      </c>
      <c r="FE8" s="1">
        <v>309.73099999999999</v>
      </c>
      <c r="FF8" s="1">
        <v>257.09399999999999</v>
      </c>
      <c r="FG8" s="1">
        <v>257.459</v>
      </c>
      <c r="FH8" s="1">
        <v>218.17699999999999</v>
      </c>
      <c r="FI8" s="1">
        <v>215.6</v>
      </c>
      <c r="FJ8" s="1">
        <v>229.488</v>
      </c>
      <c r="FK8" s="1">
        <v>169.80600000000001</v>
      </c>
      <c r="FL8" s="1">
        <v>155.00800000000001</v>
      </c>
      <c r="FM8" s="1">
        <v>148.054</v>
      </c>
      <c r="FN8" s="1">
        <v>149.572</v>
      </c>
      <c r="FO8" s="1">
        <v>165.11199999999999</v>
      </c>
      <c r="FP8" s="1">
        <v>166.49700000000001</v>
      </c>
      <c r="FQ8" s="1">
        <v>151.595</v>
      </c>
      <c r="FR8" s="1">
        <v>141.48699999999999</v>
      </c>
      <c r="FS8" s="1">
        <v>139.059</v>
      </c>
      <c r="FT8" s="1">
        <v>134.267</v>
      </c>
      <c r="FU8" s="1">
        <v>120.837</v>
      </c>
      <c r="FV8" s="1">
        <v>122.23</v>
      </c>
      <c r="FW8" s="1">
        <v>122.477</v>
      </c>
      <c r="FX8" s="1">
        <v>123.985</v>
      </c>
      <c r="FY8" s="1">
        <v>123.131</v>
      </c>
      <c r="FZ8" s="1">
        <v>124.42400000000001</v>
      </c>
      <c r="GA8" s="1">
        <v>124.61</v>
      </c>
      <c r="GB8" s="1">
        <v>123.623</v>
      </c>
      <c r="GC8" s="1">
        <v>124.78400000000001</v>
      </c>
      <c r="GD8" s="1">
        <v>127.002</v>
      </c>
      <c r="GE8" s="1">
        <v>123.032</v>
      </c>
      <c r="GF8" s="1">
        <v>120.217</v>
      </c>
      <c r="GG8" s="1">
        <v>120.712</v>
      </c>
      <c r="GH8" s="1">
        <v>124.80800000000001</v>
      </c>
      <c r="GI8" s="1">
        <v>134.768</v>
      </c>
      <c r="GJ8" s="1">
        <v>135.35400000000001</v>
      </c>
      <c r="GK8" s="1">
        <v>133.672</v>
      </c>
      <c r="GL8" s="1">
        <v>131.66800000000001</v>
      </c>
      <c r="GM8" s="1">
        <v>133.08199999999999</v>
      </c>
      <c r="GN8" s="1">
        <v>138.84899999999999</v>
      </c>
      <c r="GO8" s="1">
        <v>128.227</v>
      </c>
      <c r="GP8" s="1">
        <v>124.003</v>
      </c>
      <c r="GQ8" s="1">
        <v>118.217</v>
      </c>
      <c r="GR8" s="1">
        <v>117.51</v>
      </c>
      <c r="GS8" s="1">
        <v>114.85599999999999</v>
      </c>
      <c r="GT8" s="1">
        <v>116.801</v>
      </c>
      <c r="GU8" s="1">
        <v>119.77200000000001</v>
      </c>
      <c r="GV8" s="1">
        <v>123.09699999999999</v>
      </c>
      <c r="GW8" s="1">
        <v>121.125</v>
      </c>
      <c r="GX8" s="1">
        <v>120.64700000000001</v>
      </c>
      <c r="GY8" s="1">
        <v>124.006</v>
      </c>
      <c r="GZ8" s="1">
        <v>123.2</v>
      </c>
      <c r="HA8" s="1">
        <v>127.78100000000001</v>
      </c>
      <c r="HB8" s="1">
        <v>129.13</v>
      </c>
      <c r="HC8" s="1">
        <v>127.56699999999999</v>
      </c>
      <c r="HD8" s="1">
        <v>123.602</v>
      </c>
      <c r="HE8" s="1">
        <v>118.435</v>
      </c>
      <c r="HF8" s="1">
        <v>114.087</v>
      </c>
      <c r="HG8" s="1">
        <v>113.39</v>
      </c>
      <c r="HH8" s="1">
        <v>118.22799999999999</v>
      </c>
      <c r="HI8" s="1">
        <v>118.786</v>
      </c>
      <c r="HJ8" s="1">
        <v>117.55</v>
      </c>
      <c r="HK8" s="1">
        <v>118.97199999999999</v>
      </c>
      <c r="HL8" s="1">
        <v>119.196</v>
      </c>
      <c r="HM8" s="1">
        <v>120.45</v>
      </c>
      <c r="HN8" s="1">
        <v>123.18300000000001</v>
      </c>
      <c r="HO8" s="1">
        <v>123.166</v>
      </c>
      <c r="HP8" s="1">
        <v>124.116</v>
      </c>
      <c r="HQ8" s="1">
        <v>125.73099999999999</v>
      </c>
      <c r="HR8" s="1">
        <v>129.125</v>
      </c>
      <c r="HS8" s="1">
        <v>126.663</v>
      </c>
      <c r="HT8" s="1">
        <v>128.43899999999999</v>
      </c>
      <c r="HU8" s="1">
        <v>129.90199999999999</v>
      </c>
      <c r="HV8" s="1">
        <v>132.18700000000001</v>
      </c>
      <c r="HW8" s="1">
        <v>137.613</v>
      </c>
      <c r="HX8" s="1">
        <v>157.83600000000001</v>
      </c>
      <c r="HY8" s="1">
        <v>132.142</v>
      </c>
      <c r="HZ8" s="1">
        <v>136.04400000000001</v>
      </c>
      <c r="IA8" s="1">
        <v>136.92400000000001</v>
      </c>
      <c r="IB8" s="1">
        <v>137.70699999999999</v>
      </c>
      <c r="IC8" s="1">
        <v>135.60499999999999</v>
      </c>
      <c r="ID8" s="1">
        <v>138.34100000000001</v>
      </c>
      <c r="IE8" s="1">
        <v>147.20599999999999</v>
      </c>
      <c r="IF8" s="1">
        <v>146.87799999999999</v>
      </c>
      <c r="IG8" s="1">
        <v>148.596</v>
      </c>
      <c r="IH8" s="1">
        <v>143.76300000000001</v>
      </c>
      <c r="II8" s="1">
        <v>140.666</v>
      </c>
      <c r="IJ8" s="1">
        <v>139.923</v>
      </c>
      <c r="IK8" s="1">
        <v>139.83199999999999</v>
      </c>
      <c r="IL8" s="1">
        <v>136.52199999999999</v>
      </c>
      <c r="IM8" s="1">
        <v>132.59200000000001</v>
      </c>
      <c r="IN8" s="1">
        <v>132.238</v>
      </c>
      <c r="IO8" s="1">
        <v>129.24799999999999</v>
      </c>
      <c r="IP8" s="1">
        <v>124.306</v>
      </c>
      <c r="IQ8" s="1">
        <v>126.947</v>
      </c>
      <c r="IR8" s="1">
        <v>123.974</v>
      </c>
      <c r="IS8" s="1">
        <v>128.56</v>
      </c>
      <c r="IT8" s="1">
        <v>132.54</v>
      </c>
      <c r="IU8" s="1">
        <v>133.79499999999999</v>
      </c>
      <c r="IV8" s="1">
        <v>130.62100000000001</v>
      </c>
      <c r="IW8" s="1">
        <v>128.209</v>
      </c>
      <c r="IX8" s="1">
        <v>124.04900000000001</v>
      </c>
      <c r="IY8" s="1">
        <v>126.357</v>
      </c>
      <c r="IZ8" s="1">
        <v>129.83600000000001</v>
      </c>
      <c r="JA8" s="1">
        <v>131.47999999999999</v>
      </c>
      <c r="JB8" s="1">
        <v>128.91200000000001</v>
      </c>
      <c r="JC8" s="1">
        <v>128.566</v>
      </c>
      <c r="JD8" t="s">
        <v>45</v>
      </c>
    </row>
    <row r="9" spans="1:264" x14ac:dyDescent="0.25">
      <c r="A9" s="4" t="s">
        <v>6</v>
      </c>
      <c r="B9" t="s">
        <v>34</v>
      </c>
      <c r="C9" t="s">
        <v>37</v>
      </c>
      <c r="D9" t="s">
        <v>43</v>
      </c>
      <c r="E9" t="s">
        <v>58</v>
      </c>
      <c r="F9" t="s">
        <v>39</v>
      </c>
      <c r="G9" s="3">
        <f ca="1">_xll.BDH(A9&amp;" corp",D9,TODAY()-365,TODAY(),"pcs="&amp;B9,"dir=h","dates=h","sort=r","fill=-","cols=86;rows=1")</f>
        <v>297.66399999999999</v>
      </c>
      <c r="H9" s="1">
        <v>303.25299999999999</v>
      </c>
      <c r="I9" s="1">
        <v>307.72199999999998</v>
      </c>
      <c r="J9" s="1">
        <v>304.07400000000001</v>
      </c>
      <c r="K9" s="1">
        <v>302.78399999999999</v>
      </c>
      <c r="L9" s="1">
        <v>303.60899999999998</v>
      </c>
      <c r="M9" s="1">
        <v>304.49299999999999</v>
      </c>
      <c r="N9" s="1">
        <v>303.33699999999999</v>
      </c>
      <c r="O9" s="1">
        <v>294.166</v>
      </c>
      <c r="P9" s="1">
        <v>292.34199999999998</v>
      </c>
      <c r="Q9" s="1">
        <v>300.50200000000001</v>
      </c>
      <c r="R9" s="1">
        <v>308.09100000000001</v>
      </c>
      <c r="S9" s="1">
        <v>302.59199999999998</v>
      </c>
      <c r="T9" s="1">
        <v>304.68900000000002</v>
      </c>
      <c r="U9" s="1">
        <v>312.096</v>
      </c>
      <c r="V9" s="1">
        <v>316.39999999999998</v>
      </c>
      <c r="W9" s="1">
        <v>323.24799999999999</v>
      </c>
      <c r="X9" s="1">
        <v>316.41800000000001</v>
      </c>
      <c r="Y9" s="1">
        <v>301.43400000000003</v>
      </c>
      <c r="Z9" s="1">
        <v>303.96300000000002</v>
      </c>
      <c r="AA9" s="1">
        <v>314.53899999999999</v>
      </c>
      <c r="AB9" s="1">
        <v>287.50299999999999</v>
      </c>
      <c r="AC9" s="1">
        <v>287.24700000000001</v>
      </c>
      <c r="AD9" s="1">
        <v>291.93</v>
      </c>
      <c r="AE9" s="1">
        <v>301.71699999999998</v>
      </c>
      <c r="AF9" s="1">
        <v>305.65300000000002</v>
      </c>
      <c r="AG9" s="1">
        <v>301.72800000000001</v>
      </c>
      <c r="AH9" s="1">
        <v>295.35399999999998</v>
      </c>
      <c r="AI9" s="1">
        <v>295.839</v>
      </c>
      <c r="AJ9" s="1">
        <v>289.947</v>
      </c>
      <c r="AK9" s="1">
        <v>282.95699999999999</v>
      </c>
      <c r="AL9" s="1">
        <v>280.202</v>
      </c>
      <c r="AM9" s="1">
        <v>280.71800000000002</v>
      </c>
      <c r="AN9" s="1">
        <v>284.34800000000001</v>
      </c>
      <c r="AO9" s="1">
        <v>287.08600000000001</v>
      </c>
      <c r="AP9" s="1">
        <v>283.75700000000001</v>
      </c>
      <c r="AQ9" s="1">
        <v>287.52699999999999</v>
      </c>
      <c r="AR9" s="1">
        <v>285.33800000000002</v>
      </c>
      <c r="AS9" s="1">
        <v>279.95999999999998</v>
      </c>
      <c r="AT9" s="1">
        <v>278.947</v>
      </c>
      <c r="AU9" s="1">
        <v>285.26100000000002</v>
      </c>
      <c r="AV9" s="1">
        <v>291.13200000000001</v>
      </c>
      <c r="AW9" s="1">
        <v>290.99</v>
      </c>
      <c r="AX9" s="1">
        <v>286</v>
      </c>
      <c r="AY9" s="1">
        <v>285.54199999999997</v>
      </c>
      <c r="AZ9" s="1">
        <v>280.95699999999999</v>
      </c>
      <c r="BA9" s="1">
        <v>274.5</v>
      </c>
      <c r="BB9" s="1">
        <v>267.47300000000001</v>
      </c>
      <c r="BC9" s="1">
        <v>268.25</v>
      </c>
      <c r="BD9" s="1">
        <v>272.75599999999997</v>
      </c>
      <c r="BE9" s="1">
        <v>280.916</v>
      </c>
      <c r="BF9" s="1">
        <v>282.262</v>
      </c>
      <c r="BG9" s="1">
        <v>284.69200000000001</v>
      </c>
      <c r="BH9" s="1">
        <v>283.29300000000001</v>
      </c>
      <c r="BI9" s="1">
        <v>306.79899999999998</v>
      </c>
      <c r="BJ9" s="1">
        <v>316.56400000000002</v>
      </c>
      <c r="BK9" s="1">
        <v>317.3</v>
      </c>
      <c r="BL9" s="1">
        <v>310.67599999999999</v>
      </c>
      <c r="BM9" s="1">
        <v>296.85199999999998</v>
      </c>
      <c r="BN9" s="1">
        <v>297.00599999999997</v>
      </c>
      <c r="BO9" s="1">
        <v>289.42599999999999</v>
      </c>
      <c r="BP9" s="1">
        <v>287.89699999999999</v>
      </c>
      <c r="BQ9" s="1">
        <v>289.33600000000001</v>
      </c>
      <c r="BR9" s="1">
        <v>294.18599999999998</v>
      </c>
      <c r="BS9" s="1">
        <v>287.52800000000002</v>
      </c>
      <c r="BT9" s="1">
        <v>304.916</v>
      </c>
      <c r="BU9" s="1">
        <v>314.84100000000001</v>
      </c>
      <c r="BV9" s="1">
        <v>319.55900000000003</v>
      </c>
      <c r="BW9" s="1">
        <v>320.95299999999997</v>
      </c>
      <c r="BX9" s="1">
        <v>329.49700000000001</v>
      </c>
      <c r="BY9" s="1">
        <v>328.291</v>
      </c>
      <c r="BZ9" s="1">
        <v>333.34800000000001</v>
      </c>
      <c r="CA9" s="1">
        <v>327.83300000000003</v>
      </c>
      <c r="CB9" s="1">
        <v>325.90699999999998</v>
      </c>
      <c r="CC9" s="1">
        <v>319.19200000000001</v>
      </c>
      <c r="CD9" s="1">
        <v>318.17899999999997</v>
      </c>
      <c r="CE9" s="1">
        <v>323.209</v>
      </c>
      <c r="CF9" s="1">
        <v>323.209</v>
      </c>
      <c r="CG9" s="1">
        <v>330.11099999999999</v>
      </c>
      <c r="CH9" s="1">
        <v>346.36</v>
      </c>
      <c r="CI9" s="1">
        <v>353.34100000000001</v>
      </c>
      <c r="CJ9" s="1">
        <v>358.06900000000002</v>
      </c>
      <c r="CK9" s="1">
        <v>358.52499999999998</v>
      </c>
      <c r="CL9" s="1">
        <v>356.08699999999999</v>
      </c>
      <c r="CM9" s="1">
        <v>347.93200000000002</v>
      </c>
      <c r="CN9" s="1">
        <v>353.714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t="s">
        <v>45</v>
      </c>
    </row>
    <row r="10" spans="1:264" x14ac:dyDescent="0.25">
      <c r="A10" s="4" t="s">
        <v>7</v>
      </c>
      <c r="B10" t="s">
        <v>34</v>
      </c>
      <c r="C10" t="s">
        <v>37</v>
      </c>
      <c r="D10" t="s">
        <v>43</v>
      </c>
      <c r="F10" t="s">
        <v>39</v>
      </c>
      <c r="G10" s="3">
        <f ca="1">_xll.BDH(A10&amp;" corp",D10,TODAY()-365,TODAY(),"pcs="&amp;B10,"dir=h","dates=h","sort=r","fill=-","cols=256;rows=1")</f>
        <v>168.536</v>
      </c>
      <c r="H10" s="1">
        <v>171.399</v>
      </c>
      <c r="I10" s="1">
        <v>175.03100000000001</v>
      </c>
      <c r="J10" s="1">
        <v>162.68199999999999</v>
      </c>
      <c r="K10" s="1">
        <v>161.346</v>
      </c>
      <c r="L10" s="1">
        <v>162.827</v>
      </c>
      <c r="M10" s="1">
        <v>163.33699999999999</v>
      </c>
      <c r="N10" s="1">
        <v>163.45699999999999</v>
      </c>
      <c r="O10" s="1">
        <v>161.68700000000001</v>
      </c>
      <c r="P10" s="1">
        <v>162.113</v>
      </c>
      <c r="Q10" s="1">
        <v>169.76300000000001</v>
      </c>
      <c r="R10" s="1">
        <v>179.34299999999999</v>
      </c>
      <c r="S10" s="1">
        <v>180.095</v>
      </c>
      <c r="T10" s="1">
        <v>191.214</v>
      </c>
      <c r="U10" s="1">
        <v>203.024</v>
      </c>
      <c r="V10" s="1">
        <v>209.71799999999999</v>
      </c>
      <c r="W10" s="1">
        <v>213.505</v>
      </c>
      <c r="X10" s="1">
        <v>205.07499999999999</v>
      </c>
      <c r="Y10" s="1">
        <v>192.18100000000001</v>
      </c>
      <c r="Z10" s="1">
        <v>194.77500000000001</v>
      </c>
      <c r="AA10" s="1">
        <v>188.46799999999999</v>
      </c>
      <c r="AB10" s="1">
        <v>176.77500000000001</v>
      </c>
      <c r="AC10" s="1">
        <v>181.54</v>
      </c>
      <c r="AD10" s="1">
        <v>187.43799999999999</v>
      </c>
      <c r="AE10" s="1">
        <v>194.06100000000001</v>
      </c>
      <c r="AF10" s="1">
        <v>194.03200000000001</v>
      </c>
      <c r="AG10" s="1">
        <v>189.03100000000001</v>
      </c>
      <c r="AH10" s="1">
        <v>182.298</v>
      </c>
      <c r="AI10" s="1">
        <v>182.96899999999999</v>
      </c>
      <c r="AJ10" s="1">
        <v>176.39500000000001</v>
      </c>
      <c r="AK10" s="1">
        <v>171.411</v>
      </c>
      <c r="AL10" s="1">
        <v>170.87100000000001</v>
      </c>
      <c r="AM10" s="1">
        <v>167.535</v>
      </c>
      <c r="AN10" s="1">
        <v>168.53800000000001</v>
      </c>
      <c r="AO10" s="1">
        <v>166.625</v>
      </c>
      <c r="AP10" s="1">
        <v>173.11</v>
      </c>
      <c r="AQ10" s="1">
        <v>163.273</v>
      </c>
      <c r="AR10" s="1">
        <v>160.13</v>
      </c>
      <c r="AS10" s="1">
        <v>149.91300000000001</v>
      </c>
      <c r="AT10" s="1">
        <v>147.18799999999999</v>
      </c>
      <c r="AU10" s="1">
        <v>145.75399999999999</v>
      </c>
      <c r="AV10" s="1">
        <v>146.834</v>
      </c>
      <c r="AW10" s="1">
        <v>145.46700000000001</v>
      </c>
      <c r="AX10" s="1">
        <v>143.32900000000001</v>
      </c>
      <c r="AY10" s="1">
        <v>135.42699999999999</v>
      </c>
      <c r="AZ10" s="1">
        <v>132.39400000000001</v>
      </c>
      <c r="BA10" s="1">
        <v>128.59800000000001</v>
      </c>
      <c r="BB10" s="1">
        <v>128.06299999999999</v>
      </c>
      <c r="BC10" s="1">
        <v>131.30099999999999</v>
      </c>
      <c r="BD10" s="1">
        <v>136.821</v>
      </c>
      <c r="BE10" s="1">
        <v>142.364</v>
      </c>
      <c r="BF10" s="1">
        <v>142.59899999999999</v>
      </c>
      <c r="BG10" s="1">
        <v>146.37299999999999</v>
      </c>
      <c r="BH10" s="1">
        <v>154.363</v>
      </c>
      <c r="BI10" s="1">
        <v>160.077</v>
      </c>
      <c r="BJ10" s="1">
        <v>160.815</v>
      </c>
      <c r="BK10" s="1">
        <v>164.46700000000001</v>
      </c>
      <c r="BL10" s="1">
        <v>164.18600000000001</v>
      </c>
      <c r="BM10" s="1">
        <v>157.245</v>
      </c>
      <c r="BN10" s="1">
        <v>157.26499999999999</v>
      </c>
      <c r="BO10" s="1">
        <v>157.202</v>
      </c>
      <c r="BP10" s="1">
        <v>162.12</v>
      </c>
      <c r="BQ10" s="1">
        <v>166.58199999999999</v>
      </c>
      <c r="BR10" s="1">
        <v>167.2</v>
      </c>
      <c r="BS10" s="1">
        <v>170.87</v>
      </c>
      <c r="BT10" s="1">
        <v>191.24700000000001</v>
      </c>
      <c r="BU10" s="1">
        <v>202.35599999999999</v>
      </c>
      <c r="BV10" s="1">
        <v>205.97900000000001</v>
      </c>
      <c r="BW10" s="1">
        <v>206.09899999999999</v>
      </c>
      <c r="BX10" s="1">
        <v>208.86600000000001</v>
      </c>
      <c r="BY10" s="1">
        <v>210.39099999999999</v>
      </c>
      <c r="BZ10" s="1">
        <v>214.012</v>
      </c>
      <c r="CA10" s="1">
        <v>213.315</v>
      </c>
      <c r="CB10" s="1">
        <v>212.33099999999999</v>
      </c>
      <c r="CC10" s="1">
        <v>208.85499999999999</v>
      </c>
      <c r="CD10" s="1">
        <v>208.40799999999999</v>
      </c>
      <c r="CE10" s="1">
        <v>212.935</v>
      </c>
      <c r="CF10" s="1">
        <v>213.452</v>
      </c>
      <c r="CG10" s="1">
        <v>217.018</v>
      </c>
      <c r="CH10" s="1">
        <v>221.322</v>
      </c>
      <c r="CI10" s="1">
        <v>223.006</v>
      </c>
      <c r="CJ10" s="1">
        <v>223.143</v>
      </c>
      <c r="CK10" s="1">
        <v>220.15799999999999</v>
      </c>
      <c r="CL10" s="1">
        <v>217.292</v>
      </c>
      <c r="CM10" s="1">
        <v>215.26</v>
      </c>
      <c r="CN10" s="1">
        <v>219.05</v>
      </c>
      <c r="CO10" s="1">
        <v>211.863</v>
      </c>
      <c r="CP10" s="1">
        <v>211.85599999999999</v>
      </c>
      <c r="CQ10" s="1">
        <v>204.51300000000001</v>
      </c>
      <c r="CR10" s="1">
        <v>196.44200000000001</v>
      </c>
      <c r="CS10" s="1">
        <v>206.66499999999999</v>
      </c>
      <c r="CT10" s="1">
        <v>197.98</v>
      </c>
      <c r="CU10" s="1">
        <v>199.06200000000001</v>
      </c>
      <c r="CV10" s="1">
        <v>175.99</v>
      </c>
      <c r="CW10" s="1">
        <v>158.16399999999999</v>
      </c>
      <c r="CX10" s="1">
        <v>150.298</v>
      </c>
      <c r="CY10" s="1">
        <v>160.54900000000001</v>
      </c>
      <c r="CZ10" s="1">
        <v>186.547</v>
      </c>
      <c r="DA10" s="1">
        <v>194.495</v>
      </c>
      <c r="DB10" s="1">
        <v>201.91399999999999</v>
      </c>
      <c r="DC10" s="1">
        <v>200.93899999999999</v>
      </c>
      <c r="DD10" s="1">
        <v>200.483</v>
      </c>
      <c r="DE10" s="1">
        <v>187.91300000000001</v>
      </c>
      <c r="DF10" s="1">
        <v>186.08699999999999</v>
      </c>
      <c r="DG10" s="1">
        <v>203.43899999999999</v>
      </c>
      <c r="DH10" s="1">
        <v>216.971</v>
      </c>
      <c r="DI10" s="1">
        <v>210.99600000000001</v>
      </c>
      <c r="DJ10" s="1">
        <v>212.95500000000001</v>
      </c>
      <c r="DK10" s="1">
        <v>218.893</v>
      </c>
      <c r="DL10" s="1">
        <v>222.87700000000001</v>
      </c>
      <c r="DM10" s="1">
        <v>229.60300000000001</v>
      </c>
      <c r="DN10" s="1">
        <v>232.77099999999999</v>
      </c>
      <c r="DO10" s="1">
        <v>230.77500000000001</v>
      </c>
      <c r="DP10" s="1">
        <v>223.339</v>
      </c>
      <c r="DQ10" s="1">
        <v>218.797</v>
      </c>
      <c r="DR10" s="1">
        <v>220.172</v>
      </c>
      <c r="DS10" s="1">
        <v>225.15799999999999</v>
      </c>
      <c r="DT10" s="1">
        <v>219.78700000000001</v>
      </c>
      <c r="DU10" s="1">
        <v>219.172</v>
      </c>
      <c r="DV10" s="1">
        <v>221.142</v>
      </c>
      <c r="DW10" s="1">
        <v>221.70500000000001</v>
      </c>
      <c r="DX10" s="1">
        <v>209.24600000000001</v>
      </c>
      <c r="DY10" s="1">
        <v>205.21700000000001</v>
      </c>
      <c r="DZ10" s="1">
        <v>203.333</v>
      </c>
      <c r="EA10" s="1">
        <v>196.24199999999999</v>
      </c>
      <c r="EB10" s="1">
        <v>193.22399999999999</v>
      </c>
      <c r="EC10" s="1">
        <v>204.91300000000001</v>
      </c>
      <c r="ED10" s="1">
        <v>207.54599999999999</v>
      </c>
      <c r="EE10" s="1">
        <v>210.33600000000001</v>
      </c>
      <c r="EF10" s="1">
        <v>213.44499999999999</v>
      </c>
      <c r="EG10" s="1">
        <v>204.59700000000001</v>
      </c>
      <c r="EH10" s="1">
        <v>199.07599999999999</v>
      </c>
      <c r="EI10" s="1">
        <v>192.13399999999999</v>
      </c>
      <c r="EJ10" s="1">
        <v>178.15700000000001</v>
      </c>
      <c r="EK10" s="1">
        <v>176.10499999999999</v>
      </c>
      <c r="EL10" s="1">
        <v>220.84200000000001</v>
      </c>
      <c r="EM10" s="1">
        <v>246.25</v>
      </c>
      <c r="EN10" s="1">
        <v>264.16500000000002</v>
      </c>
      <c r="EO10" s="1">
        <v>295.03500000000003</v>
      </c>
      <c r="EP10" s="1">
        <v>317.70299999999997</v>
      </c>
      <c r="EQ10" s="1">
        <v>319.87900000000002</v>
      </c>
      <c r="ER10" s="1">
        <v>331.221</v>
      </c>
      <c r="ES10" s="1">
        <v>359.029</v>
      </c>
      <c r="ET10" s="1">
        <v>371.57600000000002</v>
      </c>
      <c r="EU10" s="1">
        <v>379.04199999999997</v>
      </c>
      <c r="EV10" s="1">
        <v>395.91</v>
      </c>
      <c r="EW10" s="1">
        <v>419.96</v>
      </c>
      <c r="EX10" s="1">
        <v>490.16500000000002</v>
      </c>
      <c r="EY10" s="1">
        <v>500.41500000000002</v>
      </c>
      <c r="EZ10" s="1">
        <v>476.12700000000001</v>
      </c>
      <c r="FA10" s="1">
        <v>490.36900000000003</v>
      </c>
      <c r="FB10" s="1">
        <v>491.661</v>
      </c>
      <c r="FC10" s="1">
        <v>423.35599999999999</v>
      </c>
      <c r="FD10" s="1">
        <v>339.37</v>
      </c>
      <c r="FE10" s="1">
        <v>249.54300000000001</v>
      </c>
      <c r="FF10" s="1">
        <v>240.70400000000001</v>
      </c>
      <c r="FG10" s="1">
        <v>203.48500000000001</v>
      </c>
      <c r="FH10" s="1">
        <v>205.524</v>
      </c>
      <c r="FI10" s="1">
        <v>221.012</v>
      </c>
      <c r="FJ10" s="1">
        <v>165.416</v>
      </c>
      <c r="FK10" s="1">
        <v>135.791</v>
      </c>
      <c r="FL10" s="1">
        <v>129.84</v>
      </c>
      <c r="FM10" s="1">
        <v>134.036</v>
      </c>
      <c r="FN10" s="1">
        <v>150.898</v>
      </c>
      <c r="FO10" s="1">
        <v>148.53899999999999</v>
      </c>
      <c r="FP10" s="1">
        <v>127.182</v>
      </c>
      <c r="FQ10" s="1">
        <v>114.593</v>
      </c>
      <c r="FR10" s="1">
        <v>108.834</v>
      </c>
      <c r="FS10" s="1">
        <v>98.082999999999998</v>
      </c>
      <c r="FT10" s="1">
        <v>88.566000000000003</v>
      </c>
      <c r="FU10" s="1">
        <v>91.751999999999995</v>
      </c>
      <c r="FV10" s="1">
        <v>93.736999999999995</v>
      </c>
      <c r="FW10" s="1">
        <v>98.668999999999997</v>
      </c>
      <c r="FX10" s="1">
        <v>99.313999999999993</v>
      </c>
      <c r="FY10" s="1">
        <v>101.074</v>
      </c>
      <c r="FZ10" s="1">
        <v>103.50700000000001</v>
      </c>
      <c r="GA10" s="1">
        <v>103.35</v>
      </c>
      <c r="GB10" s="1">
        <v>104.401</v>
      </c>
      <c r="GC10" s="1">
        <v>104.652</v>
      </c>
      <c r="GD10" s="1">
        <v>100.46299999999999</v>
      </c>
      <c r="GE10" s="1">
        <v>97.653999999999996</v>
      </c>
      <c r="GF10" s="1">
        <v>102.07899999999999</v>
      </c>
      <c r="GG10" s="1">
        <v>107.358</v>
      </c>
      <c r="GH10" s="1">
        <v>118.05500000000001</v>
      </c>
      <c r="GI10" s="1">
        <v>118.41800000000001</v>
      </c>
      <c r="GJ10" s="1">
        <v>117.011</v>
      </c>
      <c r="GK10" s="1">
        <v>114.57899999999999</v>
      </c>
      <c r="GL10" s="1">
        <v>115.904</v>
      </c>
      <c r="GM10" s="1">
        <v>120.178</v>
      </c>
      <c r="GN10" s="1">
        <v>109.986</v>
      </c>
      <c r="GO10" s="1">
        <v>106.07899999999999</v>
      </c>
      <c r="GP10" s="1">
        <v>103.78100000000001</v>
      </c>
      <c r="GQ10" s="1">
        <v>103.971</v>
      </c>
      <c r="GR10" s="1">
        <v>104.995</v>
      </c>
      <c r="GS10" s="1">
        <v>105.729</v>
      </c>
      <c r="GT10" s="1">
        <v>110.76300000000001</v>
      </c>
      <c r="GU10" s="1">
        <v>114.309</v>
      </c>
      <c r="GV10" s="1">
        <v>113.97199999999999</v>
      </c>
      <c r="GW10" s="1">
        <v>113.992</v>
      </c>
      <c r="GX10" s="1">
        <v>115.889</v>
      </c>
      <c r="GY10" s="1">
        <v>117.34399999999999</v>
      </c>
      <c r="GZ10" s="1">
        <v>119.842</v>
      </c>
      <c r="HA10" s="1">
        <v>115.88</v>
      </c>
      <c r="HB10" s="1">
        <v>111.822</v>
      </c>
      <c r="HC10" s="1">
        <v>112.887</v>
      </c>
      <c r="HD10" s="1">
        <v>111.883</v>
      </c>
      <c r="HE10" s="1">
        <v>109.547</v>
      </c>
      <c r="HF10" s="1">
        <v>110.051</v>
      </c>
      <c r="HG10" s="1">
        <v>111.357</v>
      </c>
      <c r="HH10" s="1">
        <v>111.28700000000001</v>
      </c>
      <c r="HI10" s="1">
        <v>113.155</v>
      </c>
      <c r="HJ10" s="1">
        <v>115.56100000000001</v>
      </c>
      <c r="HK10" s="1">
        <v>114.857</v>
      </c>
      <c r="HL10" s="1">
        <v>116.982</v>
      </c>
      <c r="HM10" s="1">
        <v>119.315</v>
      </c>
      <c r="HN10" s="1">
        <v>120.648</v>
      </c>
      <c r="HO10" s="1">
        <v>121.015</v>
      </c>
      <c r="HP10" s="1">
        <v>129.39500000000001</v>
      </c>
      <c r="HQ10" s="1">
        <v>132.23400000000001</v>
      </c>
      <c r="HR10" s="1">
        <v>129.48400000000001</v>
      </c>
      <c r="HS10" s="1">
        <v>131.68100000000001</v>
      </c>
      <c r="HT10" s="1">
        <v>132.51300000000001</v>
      </c>
      <c r="HU10" s="1">
        <v>135.654</v>
      </c>
      <c r="HV10" s="1">
        <v>142.459</v>
      </c>
      <c r="HW10" s="1">
        <v>143.68600000000001</v>
      </c>
      <c r="HX10" s="1">
        <v>138.25399999999999</v>
      </c>
      <c r="HY10" s="1">
        <v>141.989</v>
      </c>
      <c r="HZ10" s="1">
        <v>146.66499999999999</v>
      </c>
      <c r="IA10" s="1">
        <v>144.595</v>
      </c>
      <c r="IB10" s="1">
        <v>142.667</v>
      </c>
      <c r="IC10" s="1">
        <v>149.167</v>
      </c>
      <c r="ID10" s="1">
        <v>156.04400000000001</v>
      </c>
      <c r="IE10" s="1">
        <v>157.54</v>
      </c>
      <c r="IF10" s="1">
        <v>158.10499999999999</v>
      </c>
      <c r="IG10" s="1">
        <v>153.16300000000001</v>
      </c>
      <c r="IH10" s="1">
        <v>148.471</v>
      </c>
      <c r="II10" s="1">
        <v>148.774</v>
      </c>
      <c r="IJ10" s="1">
        <v>146.613</v>
      </c>
      <c r="IK10" s="1">
        <v>143.00200000000001</v>
      </c>
      <c r="IL10" s="1">
        <v>141.08799999999999</v>
      </c>
      <c r="IM10" s="1">
        <v>141.941</v>
      </c>
      <c r="IN10" s="1">
        <v>138.97499999999999</v>
      </c>
      <c r="IO10" s="1">
        <v>132.976</v>
      </c>
      <c r="IP10" s="1">
        <v>133.74799999999999</v>
      </c>
      <c r="IQ10" s="1">
        <v>133.261</v>
      </c>
      <c r="IR10" s="1">
        <v>138.249</v>
      </c>
      <c r="IS10" s="1">
        <v>142.905</v>
      </c>
      <c r="IT10" s="1">
        <v>143.404</v>
      </c>
      <c r="IU10" s="1">
        <v>139.16900000000001</v>
      </c>
      <c r="IV10" s="1">
        <v>135.38800000000001</v>
      </c>
      <c r="IW10" s="1">
        <v>131.88499999999999</v>
      </c>
      <c r="IX10" s="1">
        <v>133.32499999999999</v>
      </c>
      <c r="IY10" s="1">
        <v>136.40199999999999</v>
      </c>
      <c r="IZ10" s="1">
        <v>140.42400000000001</v>
      </c>
      <c r="JA10" s="1">
        <v>142.44900000000001</v>
      </c>
      <c r="JB10" s="1">
        <v>144.46</v>
      </c>
      <c r="JC10" s="1"/>
      <c r="JD10" t="s">
        <v>45</v>
      </c>
    </row>
    <row r="11" spans="1:264" x14ac:dyDescent="0.25">
      <c r="A11" s="4" t="s">
        <v>8</v>
      </c>
      <c r="B11" t="s">
        <v>34</v>
      </c>
      <c r="C11" t="s">
        <v>37</v>
      </c>
      <c r="D11" t="s">
        <v>43</v>
      </c>
      <c r="F11" t="s">
        <v>39</v>
      </c>
      <c r="G11" s="3">
        <f ca="1">_xll.BDH(A11&amp;" corp",D11,TODAY()-365,TODAY(),"pcs="&amp;B11,"dir=h","dates=h","sort=r","fill=-","cols=256;rows=1")</f>
        <v>404.56099999999998</v>
      </c>
      <c r="H11" s="1">
        <v>408.98099999999999</v>
      </c>
      <c r="I11" s="1">
        <v>416.42399999999998</v>
      </c>
      <c r="J11" s="1">
        <v>404.315</v>
      </c>
      <c r="K11" s="1">
        <v>399.42899999999997</v>
      </c>
      <c r="L11" s="1">
        <v>396.84199999999998</v>
      </c>
      <c r="M11" s="1">
        <v>395.59899999999999</v>
      </c>
      <c r="N11" s="1">
        <v>392.07400000000001</v>
      </c>
      <c r="O11" s="1">
        <v>382.06099999999998</v>
      </c>
      <c r="P11" s="1">
        <v>382.69799999999998</v>
      </c>
      <c r="Q11" s="1">
        <v>390.471</v>
      </c>
      <c r="R11" s="1">
        <v>399.63799999999998</v>
      </c>
      <c r="S11" s="1">
        <v>400.80700000000002</v>
      </c>
      <c r="T11" s="1">
        <v>408.44900000000001</v>
      </c>
      <c r="U11" s="1">
        <v>418.34699999999998</v>
      </c>
      <c r="V11" s="1">
        <v>422.94799999999998</v>
      </c>
      <c r="W11" s="1">
        <v>429.911</v>
      </c>
      <c r="X11" s="1">
        <v>419.96600000000001</v>
      </c>
      <c r="Y11" s="1">
        <v>409.49299999999999</v>
      </c>
      <c r="Z11" s="1">
        <v>409.64100000000002</v>
      </c>
      <c r="AA11" s="1">
        <v>404.161</v>
      </c>
      <c r="AB11" s="1">
        <v>387.73500000000001</v>
      </c>
      <c r="AC11" s="1">
        <v>387.77100000000002</v>
      </c>
      <c r="AD11" s="1">
        <v>388.20800000000003</v>
      </c>
      <c r="AE11" s="1">
        <v>392.166</v>
      </c>
      <c r="AF11" s="1">
        <v>393.61700000000002</v>
      </c>
      <c r="AG11" s="1">
        <v>393.91399999999999</v>
      </c>
      <c r="AH11" s="1">
        <v>389.714</v>
      </c>
      <c r="AI11" s="1">
        <v>393.66500000000002</v>
      </c>
      <c r="AJ11" s="1">
        <v>394.79399999999998</v>
      </c>
      <c r="AK11" s="1">
        <v>390.29599999999999</v>
      </c>
      <c r="AL11" s="1">
        <v>388.98700000000002</v>
      </c>
      <c r="AM11" s="1">
        <v>386.83199999999999</v>
      </c>
      <c r="AN11" s="1">
        <v>385.26799999999997</v>
      </c>
      <c r="AO11" s="1">
        <v>390.30700000000002</v>
      </c>
      <c r="AP11" s="1">
        <v>388.62599999999998</v>
      </c>
      <c r="AQ11" s="1">
        <v>389.65</v>
      </c>
      <c r="AR11" s="1">
        <v>389.68599999999998</v>
      </c>
      <c r="AS11" s="1">
        <v>382.524</v>
      </c>
      <c r="AT11" s="1">
        <v>377.33300000000003</v>
      </c>
      <c r="AU11" s="1">
        <v>386.94499999999999</v>
      </c>
      <c r="AV11" s="1">
        <v>400.495</v>
      </c>
      <c r="AW11" s="1">
        <v>404.82400000000001</v>
      </c>
      <c r="AX11" s="1">
        <v>403.86099999999999</v>
      </c>
      <c r="AY11" s="1">
        <v>403.80900000000003</v>
      </c>
      <c r="AZ11" s="1">
        <v>399.49400000000003</v>
      </c>
      <c r="BA11" s="1">
        <v>386.19</v>
      </c>
      <c r="BB11" s="1">
        <v>379.47899999999998</v>
      </c>
      <c r="BC11" s="1">
        <v>378.74700000000001</v>
      </c>
      <c r="BD11" s="1">
        <v>381.23200000000003</v>
      </c>
      <c r="BE11" s="1">
        <v>394.29399999999998</v>
      </c>
      <c r="BF11" s="1">
        <v>399.19200000000001</v>
      </c>
      <c r="BG11" s="1">
        <v>407.38799999999998</v>
      </c>
      <c r="BH11" s="1">
        <v>409.89800000000002</v>
      </c>
      <c r="BI11" s="1">
        <v>420.50400000000002</v>
      </c>
      <c r="BJ11" s="1">
        <v>422.2</v>
      </c>
      <c r="BK11" s="1">
        <v>418.65100000000001</v>
      </c>
      <c r="BL11" s="1">
        <v>417.13299999999998</v>
      </c>
      <c r="BM11" s="1">
        <v>401.67899999999997</v>
      </c>
      <c r="BN11" s="1">
        <v>398.75299999999999</v>
      </c>
      <c r="BO11" s="1">
        <v>393.15100000000001</v>
      </c>
      <c r="BP11" s="1">
        <v>387.65499999999997</v>
      </c>
      <c r="BQ11" s="1">
        <v>386.60199999999998</v>
      </c>
      <c r="BR11" s="1">
        <v>388.18299999999999</v>
      </c>
      <c r="BS11" s="1">
        <v>383.959</v>
      </c>
      <c r="BT11" s="1">
        <v>403.65699999999998</v>
      </c>
      <c r="BU11" s="1">
        <v>412.00700000000001</v>
      </c>
      <c r="BV11" s="1">
        <v>418.50799999999998</v>
      </c>
      <c r="BW11" s="1">
        <v>417.40800000000002</v>
      </c>
      <c r="BX11" s="1">
        <v>420.81400000000002</v>
      </c>
      <c r="BY11" s="1">
        <v>418.69600000000003</v>
      </c>
      <c r="BZ11" s="1">
        <v>422.99099999999999</v>
      </c>
      <c r="CA11" s="1">
        <v>419.06700000000001</v>
      </c>
      <c r="CB11" s="1">
        <v>417.04</v>
      </c>
      <c r="CC11" s="1">
        <v>415.07799999999997</v>
      </c>
      <c r="CD11" s="1">
        <v>415.79300000000001</v>
      </c>
      <c r="CE11" s="1">
        <v>419.39</v>
      </c>
      <c r="CF11" s="1">
        <v>421.24</v>
      </c>
      <c r="CG11" s="1">
        <v>421.21100000000001</v>
      </c>
      <c r="CH11" s="1">
        <v>426.07499999999999</v>
      </c>
      <c r="CI11" s="1">
        <v>430.23</v>
      </c>
      <c r="CJ11" s="1">
        <v>428.54599999999999</v>
      </c>
      <c r="CK11" s="1">
        <v>425.57400000000001</v>
      </c>
      <c r="CL11" s="1">
        <v>420.84800000000001</v>
      </c>
      <c r="CM11" s="1">
        <v>412.80500000000001</v>
      </c>
      <c r="CN11" s="1">
        <v>420.238</v>
      </c>
      <c r="CO11" s="1">
        <v>410.58800000000002</v>
      </c>
      <c r="CP11" s="1">
        <v>408.50200000000001</v>
      </c>
      <c r="CQ11" s="1">
        <v>395.67099999999999</v>
      </c>
      <c r="CR11" s="1">
        <v>388.29399999999998</v>
      </c>
      <c r="CS11" s="1">
        <v>402.73399999999998</v>
      </c>
      <c r="CT11" s="1">
        <v>400.10899999999998</v>
      </c>
      <c r="CU11" s="1">
        <v>410.36500000000001</v>
      </c>
      <c r="CV11" s="1">
        <v>384.416</v>
      </c>
      <c r="CW11" s="1">
        <v>365.13400000000001</v>
      </c>
      <c r="CX11" s="1">
        <v>348.875</v>
      </c>
      <c r="CY11" s="1">
        <v>361.24700000000001</v>
      </c>
      <c r="CZ11" s="1">
        <v>399.08199999999999</v>
      </c>
      <c r="DA11" s="1">
        <v>410.41199999999998</v>
      </c>
      <c r="DB11" s="1">
        <v>431.89</v>
      </c>
      <c r="DC11" s="1">
        <v>438.6</v>
      </c>
      <c r="DD11" s="1">
        <v>439.28399999999999</v>
      </c>
      <c r="DE11" s="1">
        <v>428.733</v>
      </c>
      <c r="DF11" s="1">
        <v>428.017</v>
      </c>
      <c r="DG11" s="1">
        <v>438.84199999999998</v>
      </c>
      <c r="DH11" s="1">
        <v>442.55900000000003</v>
      </c>
      <c r="DI11" s="1">
        <v>452.53899999999999</v>
      </c>
      <c r="DJ11" s="1">
        <v>452.18799999999999</v>
      </c>
      <c r="DK11" s="1">
        <v>457.24</v>
      </c>
      <c r="DL11" s="1">
        <v>466.19499999999999</v>
      </c>
      <c r="DM11" s="1">
        <v>485.245</v>
      </c>
      <c r="DN11" s="1">
        <v>497.04199999999997</v>
      </c>
      <c r="DO11" s="1">
        <v>499.05099999999999</v>
      </c>
      <c r="DP11" s="1">
        <v>491.50299999999999</v>
      </c>
      <c r="DQ11" s="1">
        <v>487.65899999999999</v>
      </c>
      <c r="DR11" s="1">
        <v>488.44499999999999</v>
      </c>
      <c r="DS11" s="1">
        <v>489.40699999999998</v>
      </c>
      <c r="DT11" s="1">
        <v>498.19499999999999</v>
      </c>
      <c r="DU11" s="1">
        <v>499.267</v>
      </c>
      <c r="DV11" s="1">
        <v>505.21899999999999</v>
      </c>
      <c r="DW11" s="1">
        <v>510.40499999999997</v>
      </c>
      <c r="DX11" s="1">
        <v>491.00900000000001</v>
      </c>
      <c r="DY11" s="1">
        <v>482.70800000000003</v>
      </c>
      <c r="DZ11" s="1">
        <v>471.495</v>
      </c>
      <c r="EA11" s="1">
        <v>459.69400000000002</v>
      </c>
      <c r="EB11" s="1">
        <v>448.90800000000002</v>
      </c>
      <c r="EC11" s="1">
        <v>466.28800000000001</v>
      </c>
      <c r="ED11" s="1">
        <v>467.69299999999998</v>
      </c>
      <c r="EE11" s="1">
        <v>507.67700000000002</v>
      </c>
      <c r="EF11" s="1">
        <v>519.16600000000005</v>
      </c>
      <c r="EG11" s="1">
        <v>501.46</v>
      </c>
      <c r="EH11" s="1">
        <v>491.32799999999997</v>
      </c>
      <c r="EI11" s="1">
        <v>482.19600000000003</v>
      </c>
      <c r="EJ11" s="1">
        <v>459.255</v>
      </c>
      <c r="EK11" s="1">
        <v>445.60899999999998</v>
      </c>
      <c r="EL11" s="1">
        <v>492.375</v>
      </c>
      <c r="EM11" s="1">
        <v>544.66700000000003</v>
      </c>
      <c r="EN11" s="1">
        <v>569.32100000000003</v>
      </c>
      <c r="EO11" s="1">
        <v>624.41800000000001</v>
      </c>
      <c r="EP11" s="1">
        <v>636.68299999999999</v>
      </c>
      <c r="EQ11" s="1">
        <v>624.54399999999998</v>
      </c>
      <c r="ER11" s="1">
        <v>601.721</v>
      </c>
      <c r="ES11" s="1">
        <v>589.22900000000004</v>
      </c>
      <c r="ET11" s="1">
        <v>569.16700000000003</v>
      </c>
      <c r="EU11" s="1">
        <v>540.19200000000001</v>
      </c>
      <c r="EV11" s="1">
        <v>502.822</v>
      </c>
      <c r="EW11" s="1">
        <v>496.46100000000001</v>
      </c>
      <c r="EX11" s="1">
        <v>607.86400000000003</v>
      </c>
      <c r="EY11" s="1">
        <v>656.39800000000002</v>
      </c>
      <c r="EZ11" s="1">
        <v>641.27700000000004</v>
      </c>
      <c r="FA11" s="1">
        <v>718.14</v>
      </c>
      <c r="FB11" s="1">
        <v>704.66800000000001</v>
      </c>
      <c r="FC11" s="1">
        <v>657.10699999999997</v>
      </c>
      <c r="FD11" s="1">
        <v>565.75400000000002</v>
      </c>
      <c r="FE11" s="1">
        <v>484.63799999999998</v>
      </c>
      <c r="FF11" s="1">
        <v>482.65699999999998</v>
      </c>
      <c r="FG11" s="1">
        <v>401.053</v>
      </c>
      <c r="FH11" s="1">
        <v>395.59500000000003</v>
      </c>
      <c r="FI11" s="1">
        <v>411.33800000000002</v>
      </c>
      <c r="FJ11" s="1">
        <v>359.49599999999998</v>
      </c>
      <c r="FK11" s="1">
        <v>328.35300000000001</v>
      </c>
      <c r="FL11" s="1">
        <v>310.95699999999999</v>
      </c>
      <c r="FM11" s="1">
        <v>317.83499999999998</v>
      </c>
      <c r="FN11" s="1">
        <v>344.84899999999999</v>
      </c>
      <c r="FO11" s="1">
        <v>347.12200000000001</v>
      </c>
      <c r="FP11" s="1">
        <v>324.589</v>
      </c>
      <c r="FQ11" s="1">
        <v>304.53699999999998</v>
      </c>
      <c r="FR11" s="1">
        <v>301.70299999999997</v>
      </c>
      <c r="FS11" s="1">
        <v>295.85899999999998</v>
      </c>
      <c r="FT11" s="1">
        <v>277.78300000000002</v>
      </c>
      <c r="FU11" s="1">
        <v>278.66800000000001</v>
      </c>
      <c r="FV11" s="1">
        <v>277.98899999999998</v>
      </c>
      <c r="FW11" s="1">
        <v>279.245</v>
      </c>
      <c r="FX11" s="1">
        <v>276.37400000000002</v>
      </c>
      <c r="FY11" s="1">
        <v>276.21300000000002</v>
      </c>
      <c r="FZ11" s="1">
        <v>275.39100000000002</v>
      </c>
      <c r="GA11" s="1">
        <v>272.53100000000001</v>
      </c>
      <c r="GB11" s="1">
        <v>276.166</v>
      </c>
      <c r="GC11" s="1">
        <v>278.74400000000003</v>
      </c>
      <c r="GD11" s="1">
        <v>273.15699999999998</v>
      </c>
      <c r="GE11" s="1">
        <v>268.94</v>
      </c>
      <c r="GF11" s="1">
        <v>271.22199999999998</v>
      </c>
      <c r="GG11" s="1">
        <v>280.69799999999998</v>
      </c>
      <c r="GH11" s="1">
        <v>289.23399999999998</v>
      </c>
      <c r="GI11" s="1">
        <v>288.41399999999999</v>
      </c>
      <c r="GJ11" s="1">
        <v>285.92099999999999</v>
      </c>
      <c r="GK11" s="1">
        <v>280.38400000000001</v>
      </c>
      <c r="GL11" s="1">
        <v>283.30200000000002</v>
      </c>
      <c r="GM11" s="1">
        <v>290.5</v>
      </c>
      <c r="GN11" s="1">
        <v>278.68099999999998</v>
      </c>
      <c r="GO11" s="1">
        <v>275.892</v>
      </c>
      <c r="GP11" s="1">
        <v>269.21499999999997</v>
      </c>
      <c r="GQ11" s="1">
        <v>270.29399999999998</v>
      </c>
      <c r="GR11" s="1">
        <v>268.86</v>
      </c>
      <c r="GS11" s="1">
        <v>272.22500000000002</v>
      </c>
      <c r="GT11" s="1">
        <v>278.40699999999998</v>
      </c>
      <c r="GU11" s="1">
        <v>281.25599999999997</v>
      </c>
      <c r="GV11" s="1">
        <v>279.416</v>
      </c>
      <c r="GW11" s="1">
        <v>279.19</v>
      </c>
      <c r="GX11" s="1">
        <v>283.17599999999999</v>
      </c>
      <c r="GY11" s="1">
        <v>283.71600000000001</v>
      </c>
      <c r="GZ11" s="1">
        <v>290.154</v>
      </c>
      <c r="HA11" s="1">
        <v>290.13</v>
      </c>
      <c r="HB11" s="1">
        <v>287.363</v>
      </c>
      <c r="HC11" s="1">
        <v>283.59800000000001</v>
      </c>
      <c r="HD11" s="1">
        <v>275.57499999999999</v>
      </c>
      <c r="HE11" s="1">
        <v>271.24</v>
      </c>
      <c r="HF11" s="1">
        <v>271.80799999999999</v>
      </c>
      <c r="HG11" s="1">
        <v>276.61799999999999</v>
      </c>
      <c r="HH11" s="1">
        <v>275.96300000000002</v>
      </c>
      <c r="HI11" s="1">
        <v>276.065</v>
      </c>
      <c r="HJ11" s="1">
        <v>278.55599999999998</v>
      </c>
      <c r="HK11" s="1">
        <v>277.42099999999999</v>
      </c>
      <c r="HL11" s="1">
        <v>279.666</v>
      </c>
      <c r="HM11" s="1">
        <v>284.32</v>
      </c>
      <c r="HN11" s="1">
        <v>284.11799999999999</v>
      </c>
      <c r="HO11" s="1">
        <v>285.27199999999999</v>
      </c>
      <c r="HP11" s="1">
        <v>285.70699999999999</v>
      </c>
      <c r="HQ11" s="1">
        <v>287.41800000000001</v>
      </c>
      <c r="HR11" s="1">
        <v>283.09899999999999</v>
      </c>
      <c r="HS11" s="1">
        <v>284.798</v>
      </c>
      <c r="HT11" s="1">
        <v>292.12700000000001</v>
      </c>
      <c r="HU11" s="1">
        <v>296.77300000000002</v>
      </c>
      <c r="HV11" s="1">
        <v>305.387</v>
      </c>
      <c r="HW11" s="1">
        <v>309.435</v>
      </c>
      <c r="HX11" s="1">
        <v>299.84199999999998</v>
      </c>
      <c r="HY11" s="1">
        <v>304.69600000000003</v>
      </c>
      <c r="HZ11" s="1">
        <v>305.17500000000001</v>
      </c>
      <c r="IA11" s="1">
        <v>304.245</v>
      </c>
      <c r="IB11" s="1">
        <v>303.70800000000003</v>
      </c>
      <c r="IC11" s="1">
        <v>306.25400000000002</v>
      </c>
      <c r="ID11" s="1">
        <v>316.46800000000002</v>
      </c>
      <c r="IE11" s="1">
        <v>319.22300000000001</v>
      </c>
      <c r="IF11" s="1">
        <v>320.89600000000002</v>
      </c>
      <c r="IG11" s="1">
        <v>316.42099999999999</v>
      </c>
      <c r="IH11" s="1">
        <v>315.923</v>
      </c>
      <c r="II11" s="1">
        <v>316.20100000000002</v>
      </c>
      <c r="IJ11" s="1">
        <v>319.29199999999997</v>
      </c>
      <c r="IK11" s="1">
        <v>316.82400000000001</v>
      </c>
      <c r="IL11" s="1">
        <v>311.73099999999999</v>
      </c>
      <c r="IM11" s="1">
        <v>312.25599999999997</v>
      </c>
      <c r="IN11" s="1">
        <v>311.04899999999998</v>
      </c>
      <c r="IO11" s="1">
        <v>303.30700000000002</v>
      </c>
      <c r="IP11" s="1">
        <v>302.06200000000001</v>
      </c>
      <c r="IQ11" s="1">
        <v>296.279</v>
      </c>
      <c r="IR11" s="1">
        <v>307.791</v>
      </c>
      <c r="IS11" s="1">
        <v>323.09699999999998</v>
      </c>
      <c r="IT11" s="1">
        <v>326.72899999999998</v>
      </c>
      <c r="IU11" s="1">
        <v>322.62299999999999</v>
      </c>
      <c r="IV11" s="1">
        <v>317.15699999999998</v>
      </c>
      <c r="IW11" s="1">
        <v>311.06</v>
      </c>
      <c r="IX11" s="1">
        <v>314.315</v>
      </c>
      <c r="IY11" s="1">
        <v>320.00400000000002</v>
      </c>
      <c r="IZ11" s="1">
        <v>322.46100000000001</v>
      </c>
      <c r="JA11" s="1">
        <v>320.70299999999997</v>
      </c>
      <c r="JB11" s="1">
        <v>320.58600000000001</v>
      </c>
      <c r="JC11" s="1"/>
      <c r="JD11" t="s">
        <v>45</v>
      </c>
    </row>
    <row r="12" spans="1:264" x14ac:dyDescent="0.25">
      <c r="A12" s="4" t="s">
        <v>9</v>
      </c>
      <c r="B12" t="s">
        <v>34</v>
      </c>
      <c r="C12" t="s">
        <v>37</v>
      </c>
      <c r="D12" t="s">
        <v>43</v>
      </c>
      <c r="F12" t="s">
        <v>39</v>
      </c>
      <c r="G12" s="3">
        <f ca="1">_xll.BDH(A12&amp;" corp",D12,TODAY()-365,TODAY(),"pcs="&amp;B12,"dir=h","dates=h","sort=r","fill=-","cols=256;rows=1")</f>
        <v>322.79199999999997</v>
      </c>
      <c r="H12" s="1">
        <v>327.24299999999999</v>
      </c>
      <c r="I12" s="1">
        <v>327.85</v>
      </c>
      <c r="J12" s="1">
        <v>318.82</v>
      </c>
      <c r="K12" s="1">
        <v>317.34100000000001</v>
      </c>
      <c r="L12" s="1">
        <v>316.572</v>
      </c>
      <c r="M12" s="1">
        <v>317.60899999999998</v>
      </c>
      <c r="N12" s="1">
        <v>313.05599999999998</v>
      </c>
      <c r="O12" s="1">
        <v>308.41399999999999</v>
      </c>
      <c r="P12" s="1">
        <v>309.94499999999999</v>
      </c>
      <c r="Q12" s="1">
        <v>316.72300000000001</v>
      </c>
      <c r="R12" s="1">
        <v>326.512</v>
      </c>
      <c r="S12" s="1">
        <v>332.18200000000002</v>
      </c>
      <c r="T12" s="1">
        <v>335.483</v>
      </c>
      <c r="U12" s="1">
        <v>339.67</v>
      </c>
      <c r="V12" s="1">
        <v>342.53199999999998</v>
      </c>
      <c r="W12" s="1">
        <v>344.52300000000002</v>
      </c>
      <c r="X12" s="1">
        <v>333.56799999999998</v>
      </c>
      <c r="Y12" s="1">
        <v>318.91500000000002</v>
      </c>
      <c r="Z12" s="1">
        <v>320.892</v>
      </c>
      <c r="AA12" s="1">
        <v>311.279</v>
      </c>
      <c r="AB12" s="1">
        <v>296.56400000000002</v>
      </c>
      <c r="AC12" s="1">
        <v>297.12099999999998</v>
      </c>
      <c r="AD12" s="1">
        <v>296.71100000000001</v>
      </c>
      <c r="AE12" s="1">
        <v>297.28500000000003</v>
      </c>
      <c r="AF12" s="1">
        <v>299.726</v>
      </c>
      <c r="AG12" s="1">
        <v>297.65600000000001</v>
      </c>
      <c r="AH12" s="1">
        <v>292.36599999999999</v>
      </c>
      <c r="AI12" s="1">
        <v>295.30900000000003</v>
      </c>
      <c r="AJ12" s="1">
        <v>291.33699999999999</v>
      </c>
      <c r="AK12" s="1">
        <v>287.64800000000002</v>
      </c>
      <c r="AL12" s="1">
        <v>286.428</v>
      </c>
      <c r="AM12" s="1">
        <v>284.935</v>
      </c>
      <c r="AN12" s="1">
        <v>285.05399999999997</v>
      </c>
      <c r="AO12" s="1">
        <v>284.79399999999998</v>
      </c>
      <c r="AP12" s="1">
        <v>281.10899999999998</v>
      </c>
      <c r="AQ12" s="1">
        <v>283.42399999999998</v>
      </c>
      <c r="AR12" s="1">
        <v>282.63900000000001</v>
      </c>
      <c r="AS12" s="1">
        <v>280.50400000000002</v>
      </c>
      <c r="AT12" s="1">
        <v>282.05500000000001</v>
      </c>
      <c r="AU12" s="1">
        <v>287.95400000000001</v>
      </c>
      <c r="AV12" s="1">
        <v>293.30200000000002</v>
      </c>
      <c r="AW12" s="1">
        <v>293.66199999999998</v>
      </c>
      <c r="AX12" s="1">
        <v>291.495</v>
      </c>
      <c r="AY12" s="1">
        <v>289.029</v>
      </c>
      <c r="AZ12" s="1">
        <v>284.56799999999998</v>
      </c>
      <c r="BA12" s="1">
        <v>278.17899999999997</v>
      </c>
      <c r="BB12" s="1">
        <v>273.65899999999999</v>
      </c>
      <c r="BC12" s="1">
        <v>278.04300000000001</v>
      </c>
      <c r="BD12" s="1">
        <v>287.05200000000002</v>
      </c>
      <c r="BE12" s="1">
        <v>301.35700000000003</v>
      </c>
      <c r="BF12" s="1">
        <v>305.334</v>
      </c>
      <c r="BG12" s="1">
        <v>314.161</v>
      </c>
      <c r="BH12" s="1">
        <v>316.51100000000002</v>
      </c>
      <c r="BI12" s="1">
        <v>319.39800000000002</v>
      </c>
      <c r="BJ12" s="1">
        <v>322.36799999999999</v>
      </c>
      <c r="BK12" s="1">
        <v>321.363</v>
      </c>
      <c r="BL12" s="1">
        <v>315.86599999999999</v>
      </c>
      <c r="BM12" s="1">
        <v>301.29700000000003</v>
      </c>
      <c r="BN12" s="1">
        <v>296.68700000000001</v>
      </c>
      <c r="BO12" s="1">
        <v>294.34399999999999</v>
      </c>
      <c r="BP12" s="1">
        <v>289.43799999999999</v>
      </c>
      <c r="BQ12" s="1">
        <v>292.96300000000002</v>
      </c>
      <c r="BR12" s="1">
        <v>290.24200000000002</v>
      </c>
      <c r="BS12" s="1">
        <v>285.89100000000002</v>
      </c>
      <c r="BT12" s="1">
        <v>311.642</v>
      </c>
      <c r="BU12" s="1">
        <v>332.93099999999998</v>
      </c>
      <c r="BV12" s="1">
        <v>336.70499999999998</v>
      </c>
      <c r="BW12" s="1">
        <v>337.16199999999998</v>
      </c>
      <c r="BX12" s="1">
        <v>343.52499999999998</v>
      </c>
      <c r="BY12" s="1">
        <v>346.85599999999999</v>
      </c>
      <c r="BZ12" s="1">
        <v>351.99099999999999</v>
      </c>
      <c r="CA12" s="1">
        <v>349.49799999999999</v>
      </c>
      <c r="CB12" s="1">
        <v>345.363</v>
      </c>
      <c r="CC12" s="1">
        <v>344.37099999999998</v>
      </c>
      <c r="CD12" s="1">
        <v>347.96</v>
      </c>
      <c r="CE12" s="1">
        <v>355.21899999999999</v>
      </c>
      <c r="CF12" s="1">
        <v>357.536</v>
      </c>
      <c r="CG12" s="1">
        <v>364.29599999999999</v>
      </c>
      <c r="CH12" s="1">
        <v>377.42899999999997</v>
      </c>
      <c r="CI12" s="1">
        <v>380.97300000000001</v>
      </c>
      <c r="CJ12" s="1">
        <v>383.31</v>
      </c>
      <c r="CK12" s="1">
        <v>384.37299999999999</v>
      </c>
      <c r="CL12" s="1">
        <v>382.68</v>
      </c>
      <c r="CM12" s="1">
        <v>382.30599999999998</v>
      </c>
      <c r="CN12" s="1">
        <v>385.56599999999997</v>
      </c>
      <c r="CO12" s="1">
        <v>377.39800000000002</v>
      </c>
      <c r="CP12" s="1">
        <v>376.84100000000001</v>
      </c>
      <c r="CQ12" s="1">
        <v>363.81599999999997</v>
      </c>
      <c r="CR12" s="1">
        <v>352.24200000000002</v>
      </c>
      <c r="CS12" s="1">
        <v>376.71499999999997</v>
      </c>
      <c r="CT12" s="1">
        <v>372.11099999999999</v>
      </c>
      <c r="CU12" s="1">
        <v>378.9</v>
      </c>
      <c r="CV12" s="1">
        <v>349.37799999999999</v>
      </c>
      <c r="CW12" s="1">
        <v>320.95699999999999</v>
      </c>
      <c r="CX12" s="1">
        <v>290.26499999999999</v>
      </c>
      <c r="CY12" s="1">
        <v>292.01299999999998</v>
      </c>
      <c r="CZ12" s="1">
        <v>329.37700000000001</v>
      </c>
      <c r="DA12" s="1">
        <v>339.00299999999999</v>
      </c>
      <c r="DB12" s="1">
        <v>352.15600000000001</v>
      </c>
      <c r="DC12" s="1">
        <v>354.40800000000002</v>
      </c>
      <c r="DD12" s="1">
        <v>354.82900000000001</v>
      </c>
      <c r="DE12" s="1">
        <v>347.78399999999999</v>
      </c>
      <c r="DF12" s="1">
        <v>343.88600000000002</v>
      </c>
      <c r="DG12" s="1">
        <v>418.91899999999998</v>
      </c>
      <c r="DH12" s="1">
        <v>429.327</v>
      </c>
      <c r="DI12" s="1">
        <v>442.15300000000002</v>
      </c>
      <c r="DJ12" s="1">
        <v>444.51900000000001</v>
      </c>
      <c r="DK12" s="1">
        <v>456.16399999999999</v>
      </c>
      <c r="DL12" s="1">
        <v>465.42899999999997</v>
      </c>
      <c r="DM12" s="1">
        <v>485.18900000000002</v>
      </c>
      <c r="DN12" s="1">
        <v>492.65899999999999</v>
      </c>
      <c r="DO12" s="1">
        <v>494.06799999999998</v>
      </c>
      <c r="DP12" s="1">
        <v>474.685</v>
      </c>
      <c r="DQ12" s="1">
        <v>463.221</v>
      </c>
      <c r="DR12" s="1">
        <v>461.726</v>
      </c>
      <c r="DS12" s="1">
        <v>464.14499999999998</v>
      </c>
      <c r="DT12" s="1">
        <v>462.02300000000002</v>
      </c>
      <c r="DU12" s="1">
        <v>465.20100000000002</v>
      </c>
      <c r="DV12" s="1">
        <v>480.95499999999998</v>
      </c>
      <c r="DW12" s="1">
        <v>499.04300000000001</v>
      </c>
      <c r="DX12" s="1">
        <v>482.19099999999997</v>
      </c>
      <c r="DY12" s="1">
        <v>473.45600000000002</v>
      </c>
      <c r="DZ12" s="1">
        <v>463.02699999999999</v>
      </c>
      <c r="EA12" s="1">
        <v>442.97399999999999</v>
      </c>
      <c r="EB12" s="1">
        <v>431.88600000000002</v>
      </c>
      <c r="EC12" s="1">
        <v>451.90899999999999</v>
      </c>
      <c r="ED12" s="1">
        <v>456.24200000000002</v>
      </c>
      <c r="EE12" s="1">
        <v>460.209</v>
      </c>
      <c r="EF12" s="1">
        <v>444.42200000000003</v>
      </c>
      <c r="EG12" s="1">
        <v>417.36500000000001</v>
      </c>
      <c r="EH12" s="1">
        <v>406.09300000000002</v>
      </c>
      <c r="EI12" s="1">
        <v>400.928</v>
      </c>
      <c r="EJ12" s="1">
        <v>381.89299999999997</v>
      </c>
      <c r="EK12" s="1">
        <v>375.49599999999998</v>
      </c>
      <c r="EL12" s="1">
        <v>404.94</v>
      </c>
      <c r="EM12" s="1">
        <v>439.14100000000002</v>
      </c>
      <c r="EN12" s="1">
        <v>448.76900000000001</v>
      </c>
      <c r="EO12" s="1">
        <v>452.42700000000002</v>
      </c>
      <c r="EP12" s="1">
        <v>452.77800000000002</v>
      </c>
      <c r="EQ12" s="1">
        <v>447.63799999999998</v>
      </c>
      <c r="ER12" s="1">
        <v>446.666</v>
      </c>
      <c r="ES12" s="1">
        <v>449.15499999999997</v>
      </c>
      <c r="ET12" s="1">
        <v>451.197</v>
      </c>
      <c r="EU12" s="1">
        <v>450.78</v>
      </c>
      <c r="EV12" s="1">
        <v>464.80799999999999</v>
      </c>
      <c r="EW12" s="1">
        <v>476.49799999999999</v>
      </c>
      <c r="EX12" s="1">
        <v>580.58299999999997</v>
      </c>
      <c r="EY12" s="1">
        <v>592.56899999999996</v>
      </c>
      <c r="EZ12" s="1">
        <v>580.11300000000006</v>
      </c>
      <c r="FA12" s="1">
        <v>582.97500000000002</v>
      </c>
      <c r="FB12" s="1">
        <v>576.12800000000004</v>
      </c>
      <c r="FC12" s="1">
        <v>537.00900000000001</v>
      </c>
      <c r="FD12" s="1">
        <v>483.08</v>
      </c>
      <c r="FE12" s="1">
        <v>417.52499999999998</v>
      </c>
      <c r="FF12" s="1">
        <v>414.19</v>
      </c>
      <c r="FG12" s="1">
        <v>355.47899999999998</v>
      </c>
      <c r="FH12" s="1">
        <v>343.952</v>
      </c>
      <c r="FI12" s="1">
        <v>375.9</v>
      </c>
      <c r="FJ12" s="1">
        <v>316.11099999999999</v>
      </c>
      <c r="FK12" s="1">
        <v>285.86799999999999</v>
      </c>
      <c r="FL12" s="1">
        <v>272.78500000000003</v>
      </c>
      <c r="FM12" s="1">
        <v>290.53300000000002</v>
      </c>
      <c r="FN12" s="1">
        <v>317.44499999999999</v>
      </c>
      <c r="FO12" s="1">
        <v>321.11099999999999</v>
      </c>
      <c r="FP12" s="1">
        <v>292.11200000000002</v>
      </c>
      <c r="FQ12" s="1">
        <v>270.86500000000001</v>
      </c>
      <c r="FR12" s="1">
        <v>267.13499999999999</v>
      </c>
      <c r="FS12" s="1">
        <v>259.80799999999999</v>
      </c>
      <c r="FT12" s="1">
        <v>236.29300000000001</v>
      </c>
      <c r="FU12" s="1">
        <v>237.18299999999999</v>
      </c>
      <c r="FV12" s="1">
        <v>237.08099999999999</v>
      </c>
      <c r="FW12" s="1">
        <v>236.98699999999999</v>
      </c>
      <c r="FX12" s="1">
        <v>228.23099999999999</v>
      </c>
      <c r="FY12" s="1">
        <v>228.55199999999999</v>
      </c>
      <c r="FZ12" s="1">
        <v>226.90600000000001</v>
      </c>
      <c r="GA12" s="1">
        <v>223.64</v>
      </c>
      <c r="GB12" s="1">
        <v>225.048</v>
      </c>
      <c r="GC12" s="1">
        <v>225.69900000000001</v>
      </c>
      <c r="GD12" s="1">
        <v>219.27500000000001</v>
      </c>
      <c r="GE12" s="1">
        <v>214.839</v>
      </c>
      <c r="GF12" s="1">
        <v>216.328</v>
      </c>
      <c r="GG12" s="1">
        <v>232.19499999999999</v>
      </c>
      <c r="GH12" s="1">
        <v>239.292</v>
      </c>
      <c r="GI12" s="1">
        <v>238.39</v>
      </c>
      <c r="GJ12" s="1">
        <v>230.483</v>
      </c>
      <c r="GK12" s="1">
        <v>216.54</v>
      </c>
      <c r="GL12" s="1">
        <v>217.274</v>
      </c>
      <c r="GM12" s="1">
        <v>236.489</v>
      </c>
      <c r="GN12" s="1">
        <v>221.41300000000001</v>
      </c>
      <c r="GO12" s="1">
        <v>215.435</v>
      </c>
      <c r="GP12" s="1">
        <v>192.64500000000001</v>
      </c>
      <c r="GQ12" s="1">
        <v>190.83699999999999</v>
      </c>
      <c r="GR12" s="1">
        <v>185.024</v>
      </c>
      <c r="GS12" s="1">
        <v>196.54499999999999</v>
      </c>
      <c r="GT12" s="1">
        <v>205.34200000000001</v>
      </c>
      <c r="GU12" s="1">
        <v>211.898</v>
      </c>
      <c r="GV12" s="1">
        <v>214.381</v>
      </c>
      <c r="GW12" s="1">
        <v>216.54400000000001</v>
      </c>
      <c r="GX12" s="1">
        <v>222.02199999999999</v>
      </c>
      <c r="GY12" s="1">
        <v>221.977</v>
      </c>
      <c r="GZ12" s="1">
        <v>227.923</v>
      </c>
      <c r="HA12" s="1">
        <v>229.238</v>
      </c>
      <c r="HB12" s="1">
        <v>229.76900000000001</v>
      </c>
      <c r="HC12" s="1">
        <v>229.99</v>
      </c>
      <c r="HD12" s="1">
        <v>227.01</v>
      </c>
      <c r="HE12" s="1">
        <v>231.12700000000001</v>
      </c>
      <c r="HF12" s="1">
        <v>227.65199999999999</v>
      </c>
      <c r="HG12" s="1">
        <v>231.18</v>
      </c>
      <c r="HH12" s="1">
        <v>229.85300000000001</v>
      </c>
      <c r="HI12" s="1">
        <v>231.29400000000001</v>
      </c>
      <c r="HJ12" s="1">
        <v>234.49199999999999</v>
      </c>
      <c r="HK12" s="1">
        <v>237.55500000000001</v>
      </c>
      <c r="HL12" s="1">
        <v>241.995</v>
      </c>
      <c r="HM12" s="1">
        <v>245.72</v>
      </c>
      <c r="HN12" s="1">
        <v>247.71199999999999</v>
      </c>
      <c r="HO12" s="1">
        <v>250.101</v>
      </c>
      <c r="HP12" s="1">
        <v>258.755</v>
      </c>
      <c r="HQ12" s="1">
        <v>262.60000000000002</v>
      </c>
      <c r="HR12" s="1">
        <v>261.56700000000001</v>
      </c>
      <c r="HS12" s="1">
        <v>263.80900000000003</v>
      </c>
      <c r="HT12" s="1">
        <v>266.03699999999998</v>
      </c>
      <c r="HU12" s="1">
        <v>273.74299999999999</v>
      </c>
      <c r="HV12" s="1">
        <v>281.12700000000001</v>
      </c>
      <c r="HW12" s="1">
        <v>285.93</v>
      </c>
      <c r="HX12" s="1">
        <v>278.12</v>
      </c>
      <c r="HY12" s="1">
        <v>282.87700000000001</v>
      </c>
      <c r="HZ12" s="1">
        <v>284.71600000000001</v>
      </c>
      <c r="IA12" s="1">
        <v>283.19099999999997</v>
      </c>
      <c r="IB12" s="1">
        <v>281.92599999999999</v>
      </c>
      <c r="IC12" s="1">
        <v>294.00200000000001</v>
      </c>
      <c r="ID12" s="1">
        <v>301.13200000000001</v>
      </c>
      <c r="IE12" s="1">
        <v>303.56</v>
      </c>
      <c r="IF12" s="1">
        <v>304.40699999999998</v>
      </c>
      <c r="IG12" s="1">
        <v>300.48599999999999</v>
      </c>
      <c r="IH12" s="1">
        <v>298.75200000000001</v>
      </c>
      <c r="II12" s="1">
        <v>298.447</v>
      </c>
      <c r="IJ12" s="1">
        <v>297.87700000000001</v>
      </c>
      <c r="IK12" s="1">
        <v>294.98200000000003</v>
      </c>
      <c r="IL12" s="1">
        <v>292.041</v>
      </c>
      <c r="IM12" s="1">
        <v>302.87900000000002</v>
      </c>
      <c r="IN12" s="1">
        <v>298.60199999999998</v>
      </c>
      <c r="IO12" s="1">
        <v>290.05799999999999</v>
      </c>
      <c r="IP12" s="1">
        <v>288.63200000000001</v>
      </c>
      <c r="IQ12" s="1">
        <v>281.72500000000002</v>
      </c>
      <c r="IR12" s="1">
        <v>289.65699999999998</v>
      </c>
      <c r="IS12" s="1">
        <v>297.33</v>
      </c>
      <c r="IT12" s="1">
        <v>299.17500000000001</v>
      </c>
      <c r="IU12" s="1">
        <v>295.93299999999999</v>
      </c>
      <c r="IV12" s="1">
        <v>292.84300000000002</v>
      </c>
      <c r="IW12" s="1">
        <v>288.22699999999998</v>
      </c>
      <c r="IX12" s="1">
        <v>289.37200000000001</v>
      </c>
      <c r="IY12" s="1">
        <v>295.27800000000002</v>
      </c>
      <c r="IZ12" s="1">
        <v>299.697</v>
      </c>
      <c r="JA12" s="1">
        <v>301.512</v>
      </c>
      <c r="JB12" s="1">
        <v>301.32499999999999</v>
      </c>
      <c r="JC12" s="1"/>
      <c r="JD12" t="s">
        <v>45</v>
      </c>
    </row>
    <row r="13" spans="1:264" x14ac:dyDescent="0.25">
      <c r="A13" s="4" t="s">
        <v>10</v>
      </c>
      <c r="B13" t="s">
        <v>34</v>
      </c>
      <c r="C13" t="s">
        <v>37</v>
      </c>
      <c r="D13" t="s">
        <v>43</v>
      </c>
      <c r="F13" t="s">
        <v>40</v>
      </c>
      <c r="G13" s="3">
        <f ca="1">_xll.BDH(A13&amp;" corp",D13,TODAY()-365,TODAY(),"pcs="&amp;B13,"dir=h","dates=h","sort=r","fill=-","cols=257;rows=1")</f>
        <v>392.214</v>
      </c>
      <c r="H13" s="1">
        <v>397.90300000000002</v>
      </c>
      <c r="I13" s="1">
        <v>402.45499999999998</v>
      </c>
      <c r="J13" s="1">
        <v>392.57100000000003</v>
      </c>
      <c r="K13" s="1">
        <v>389.35899999999998</v>
      </c>
      <c r="L13" s="1">
        <v>388.12299999999999</v>
      </c>
      <c r="M13" s="1">
        <v>388.17099999999999</v>
      </c>
      <c r="N13" s="1">
        <v>387.55599999999998</v>
      </c>
      <c r="O13" s="1">
        <v>386.38099999999997</v>
      </c>
      <c r="P13" s="1">
        <v>387.97800000000001</v>
      </c>
      <c r="Q13" s="1">
        <v>406.93700000000001</v>
      </c>
      <c r="R13" s="1">
        <v>414.32900000000001</v>
      </c>
      <c r="S13" s="1">
        <v>413.39600000000002</v>
      </c>
      <c r="T13" s="1">
        <v>419.459</v>
      </c>
      <c r="U13" s="1">
        <v>425.46899999999999</v>
      </c>
      <c r="V13" s="1">
        <v>430.959</v>
      </c>
      <c r="W13" s="1">
        <v>434.50200000000001</v>
      </c>
      <c r="X13" s="1">
        <v>424.61099999999999</v>
      </c>
      <c r="Y13" s="1">
        <v>412.25799999999998</v>
      </c>
      <c r="Z13" s="1">
        <v>415.11599999999999</v>
      </c>
      <c r="AA13" s="1">
        <v>411.39600000000002</v>
      </c>
      <c r="AB13" s="1">
        <v>389.77600000000001</v>
      </c>
      <c r="AC13" s="1">
        <v>394.78899999999999</v>
      </c>
      <c r="AD13" s="1">
        <v>396.96100000000001</v>
      </c>
      <c r="AE13" s="1">
        <v>403.16899999999998</v>
      </c>
      <c r="AF13" s="1">
        <v>405.07</v>
      </c>
      <c r="AG13" s="1">
        <v>399.423</v>
      </c>
      <c r="AH13" s="1">
        <v>392.642</v>
      </c>
      <c r="AI13" s="1">
        <v>395.524</v>
      </c>
      <c r="AJ13" s="1">
        <v>394.53699999999998</v>
      </c>
      <c r="AK13" s="1">
        <v>389.95400000000001</v>
      </c>
      <c r="AL13" s="1">
        <v>388.74200000000002</v>
      </c>
      <c r="AM13" s="1">
        <v>388.80900000000003</v>
      </c>
      <c r="AN13" s="1">
        <v>387.036</v>
      </c>
      <c r="AO13" s="1">
        <v>386.08699999999999</v>
      </c>
      <c r="AP13" s="1">
        <v>386.50799999999998</v>
      </c>
      <c r="AQ13" s="1">
        <v>385.274</v>
      </c>
      <c r="AR13" s="1">
        <v>382.27600000000001</v>
      </c>
      <c r="AS13" s="1">
        <v>377.68</v>
      </c>
      <c r="AT13" s="1">
        <v>376.755</v>
      </c>
      <c r="AU13" s="1">
        <v>383.89499999999998</v>
      </c>
      <c r="AV13" s="1">
        <v>387.363</v>
      </c>
      <c r="AW13" s="1">
        <v>387.25900000000001</v>
      </c>
      <c r="AX13" s="1">
        <v>382.23899999999998</v>
      </c>
      <c r="AY13" s="1">
        <v>379.88299999999998</v>
      </c>
      <c r="AZ13" s="1">
        <v>376.87</v>
      </c>
      <c r="BA13" s="1">
        <v>372.46199999999999</v>
      </c>
      <c r="BB13" s="1">
        <v>368.791</v>
      </c>
      <c r="BC13" s="1">
        <v>370.839</v>
      </c>
      <c r="BD13" s="1">
        <v>374.35500000000002</v>
      </c>
      <c r="BE13" s="1">
        <v>381.87799999999999</v>
      </c>
      <c r="BF13" s="1">
        <v>384.495</v>
      </c>
      <c r="BG13" s="1">
        <v>386.834</v>
      </c>
      <c r="BH13" s="1">
        <v>385.66399999999999</v>
      </c>
      <c r="BI13" s="1">
        <v>390.99099999999999</v>
      </c>
      <c r="BJ13" s="1">
        <v>389.32499999999999</v>
      </c>
      <c r="BK13" s="1">
        <v>383.79199999999997</v>
      </c>
      <c r="BL13" s="1">
        <v>378.07799999999997</v>
      </c>
      <c r="BM13" s="1">
        <v>366.173</v>
      </c>
      <c r="BN13" s="1">
        <v>362.28399999999999</v>
      </c>
      <c r="BO13" s="1">
        <v>358.649</v>
      </c>
      <c r="BP13" s="1">
        <v>356.46</v>
      </c>
      <c r="BQ13" s="1">
        <v>358.72899999999998</v>
      </c>
      <c r="BR13" s="1">
        <v>359.58499999999998</v>
      </c>
      <c r="BS13" s="1">
        <v>358.27300000000002</v>
      </c>
      <c r="BT13" s="1">
        <v>373.815</v>
      </c>
      <c r="BU13" s="1">
        <v>379.64</v>
      </c>
      <c r="BV13" s="1">
        <v>382.45400000000001</v>
      </c>
      <c r="BW13" s="1">
        <v>381.11700000000002</v>
      </c>
      <c r="BX13" s="1">
        <v>385.84399999999999</v>
      </c>
      <c r="BY13" s="1">
        <v>384.46300000000002</v>
      </c>
      <c r="BZ13" s="1">
        <v>388.31599999999997</v>
      </c>
      <c r="CA13" s="1">
        <v>380.85399999999998</v>
      </c>
      <c r="CB13" s="1">
        <v>377.22800000000001</v>
      </c>
      <c r="CC13" s="1">
        <v>374.68200000000002</v>
      </c>
      <c r="CD13" s="1">
        <v>374.99799999999999</v>
      </c>
      <c r="CE13" s="1">
        <v>380.209</v>
      </c>
      <c r="CF13" s="1">
        <v>383.26900000000001</v>
      </c>
      <c r="CG13" s="1">
        <v>387.74700000000001</v>
      </c>
      <c r="CH13" s="1">
        <v>391.01799999999997</v>
      </c>
      <c r="CI13" s="1">
        <v>393.04500000000002</v>
      </c>
      <c r="CJ13" s="1">
        <v>391.57499999999999</v>
      </c>
      <c r="CK13" s="1">
        <v>390.11200000000002</v>
      </c>
      <c r="CL13" s="1">
        <v>383.76600000000002</v>
      </c>
      <c r="CM13" s="1">
        <v>378.28</v>
      </c>
      <c r="CN13" s="1">
        <v>380.94299999999998</v>
      </c>
      <c r="CO13" s="1">
        <v>366.803</v>
      </c>
      <c r="CP13" s="1">
        <v>366.25900000000001</v>
      </c>
      <c r="CQ13" s="1">
        <v>354.13799999999998</v>
      </c>
      <c r="CR13" s="1">
        <v>343.43799999999999</v>
      </c>
      <c r="CS13" s="1">
        <v>367.56900000000002</v>
      </c>
      <c r="CT13" s="1">
        <v>361.37</v>
      </c>
      <c r="CU13" s="1">
        <v>362.55700000000002</v>
      </c>
      <c r="CV13" s="1">
        <v>339.089</v>
      </c>
      <c r="CW13" s="1">
        <v>321.48</v>
      </c>
      <c r="CX13" s="1">
        <v>307.01900000000001</v>
      </c>
      <c r="CY13" s="1">
        <v>320.92099999999999</v>
      </c>
      <c r="CZ13" s="1">
        <v>348.45699999999999</v>
      </c>
      <c r="DA13" s="1">
        <v>358.45</v>
      </c>
      <c r="DB13" s="1">
        <v>379.18900000000002</v>
      </c>
      <c r="DC13" s="1">
        <v>381.93200000000002</v>
      </c>
      <c r="DD13" s="1">
        <v>383.50299999999999</v>
      </c>
      <c r="DE13" s="1">
        <v>371.90199999999999</v>
      </c>
      <c r="DF13" s="1">
        <v>369.54500000000002</v>
      </c>
      <c r="DG13" s="1">
        <v>384.89699999999999</v>
      </c>
      <c r="DH13" s="1">
        <v>387.68400000000003</v>
      </c>
      <c r="DI13" s="1">
        <v>407.072</v>
      </c>
      <c r="DJ13" s="1">
        <v>407.21699999999998</v>
      </c>
      <c r="DK13" s="1">
        <v>410.32100000000003</v>
      </c>
      <c r="DL13" s="1">
        <v>422.40199999999999</v>
      </c>
      <c r="DM13" s="1">
        <v>435.19799999999998</v>
      </c>
      <c r="DN13" s="1">
        <v>443.017</v>
      </c>
      <c r="DO13" s="1">
        <v>443.12599999999998</v>
      </c>
      <c r="DP13" s="1">
        <v>430.90100000000001</v>
      </c>
      <c r="DQ13" s="1">
        <v>421.69799999999998</v>
      </c>
      <c r="DR13" s="1">
        <v>420.06400000000002</v>
      </c>
      <c r="DS13" s="1">
        <v>414.49299999999999</v>
      </c>
      <c r="DT13" s="1">
        <v>423.35300000000001</v>
      </c>
      <c r="DU13" s="1">
        <v>449.053</v>
      </c>
      <c r="DV13" s="1">
        <v>457.63400000000001</v>
      </c>
      <c r="DW13" s="1">
        <v>461.83699999999999</v>
      </c>
      <c r="DX13" s="1">
        <v>451.529</v>
      </c>
      <c r="DY13" s="1">
        <v>438.233</v>
      </c>
      <c r="DZ13" s="1">
        <v>424.13900000000001</v>
      </c>
      <c r="EA13" s="1">
        <v>416.79599999999999</v>
      </c>
      <c r="EB13" s="1">
        <v>411.87599999999998</v>
      </c>
      <c r="EC13" s="1">
        <v>425.39</v>
      </c>
      <c r="ED13" s="1">
        <v>430.26900000000001</v>
      </c>
      <c r="EE13" s="1">
        <v>447.91300000000001</v>
      </c>
      <c r="EF13" s="1">
        <v>451.18400000000003</v>
      </c>
      <c r="EG13" s="1">
        <v>436.71899999999999</v>
      </c>
      <c r="EH13" s="1">
        <v>430.447</v>
      </c>
      <c r="EI13" s="1">
        <v>431.54300000000001</v>
      </c>
      <c r="EJ13" s="1">
        <v>412.40800000000002</v>
      </c>
      <c r="EK13" s="1">
        <v>407.57499999999999</v>
      </c>
      <c r="EL13" s="1">
        <v>416.24099999999999</v>
      </c>
      <c r="EM13" s="1">
        <v>445.005</v>
      </c>
      <c r="EN13" s="1">
        <v>483.57</v>
      </c>
      <c r="EO13" s="1">
        <v>499.86700000000002</v>
      </c>
      <c r="EP13" s="1">
        <v>533.476</v>
      </c>
      <c r="EQ13" s="1">
        <v>539.09699999999998</v>
      </c>
      <c r="ER13" s="1">
        <v>538.12599999999998</v>
      </c>
      <c r="ES13" s="1">
        <v>539.27099999999996</v>
      </c>
      <c r="ET13" s="1">
        <v>538.33799999999997</v>
      </c>
      <c r="EU13" s="1">
        <v>544.93700000000001</v>
      </c>
      <c r="EV13" s="1">
        <v>542.053</v>
      </c>
      <c r="EW13" s="1">
        <v>551.31299999999999</v>
      </c>
      <c r="EX13" s="1">
        <v>564.33600000000001</v>
      </c>
      <c r="EY13" s="1">
        <v>633.45100000000002</v>
      </c>
      <c r="EZ13" s="1">
        <v>660.27800000000002</v>
      </c>
      <c r="FA13" s="1">
        <v>634.61500000000001</v>
      </c>
      <c r="FB13" s="1">
        <v>662.32</v>
      </c>
      <c r="FC13" s="1">
        <v>652.81100000000004</v>
      </c>
      <c r="FD13" s="1">
        <v>550.38800000000003</v>
      </c>
      <c r="FE13" s="1">
        <v>497.98099999999999</v>
      </c>
      <c r="FF13" s="1">
        <v>408.649</v>
      </c>
      <c r="FG13" s="1">
        <v>409.30200000000002</v>
      </c>
      <c r="FH13" s="1">
        <v>347.81</v>
      </c>
      <c r="FI13" s="1">
        <v>339.87</v>
      </c>
      <c r="FJ13" s="1">
        <v>355.65199999999999</v>
      </c>
      <c r="FK13" s="1">
        <v>298.41399999999999</v>
      </c>
      <c r="FL13" s="1">
        <v>275.57499999999999</v>
      </c>
      <c r="FM13" s="1">
        <v>265.45499999999998</v>
      </c>
      <c r="FN13" s="1">
        <v>268.32100000000003</v>
      </c>
      <c r="FO13" s="1">
        <v>288.70600000000002</v>
      </c>
      <c r="FP13" s="1">
        <v>289.00799999999998</v>
      </c>
      <c r="FQ13" s="1">
        <v>268.48500000000001</v>
      </c>
      <c r="FR13" s="1">
        <v>255.49100000000001</v>
      </c>
      <c r="FS13" s="1">
        <v>253.852</v>
      </c>
      <c r="FT13" s="1">
        <v>246.827</v>
      </c>
      <c r="FU13" s="1">
        <v>232.28800000000001</v>
      </c>
      <c r="FV13" s="1">
        <v>236.84800000000001</v>
      </c>
      <c r="FW13" s="1">
        <v>235.88</v>
      </c>
      <c r="FX13" s="1">
        <v>238.78100000000001</v>
      </c>
      <c r="FY13" s="1">
        <v>237.786</v>
      </c>
      <c r="FZ13" s="1">
        <v>240.07</v>
      </c>
      <c r="GA13" s="1">
        <v>240.38800000000001</v>
      </c>
      <c r="GB13" s="1">
        <v>238.99</v>
      </c>
      <c r="GC13" s="1">
        <v>245.29300000000001</v>
      </c>
      <c r="GD13" s="1">
        <v>256.12799999999999</v>
      </c>
      <c r="GE13" s="1">
        <v>252.184</v>
      </c>
      <c r="GF13" s="1">
        <v>249.45599999999999</v>
      </c>
      <c r="GG13" s="1">
        <v>251.20699999999999</v>
      </c>
      <c r="GH13" s="1">
        <v>259.45699999999999</v>
      </c>
      <c r="GI13" s="1">
        <v>269.55</v>
      </c>
      <c r="GJ13" s="1">
        <v>269.863</v>
      </c>
      <c r="GK13" s="1">
        <v>266.81200000000001</v>
      </c>
      <c r="GL13" s="1">
        <v>260.66699999999997</v>
      </c>
      <c r="GM13" s="1">
        <v>261.39400000000001</v>
      </c>
      <c r="GN13" s="1">
        <v>271.93599999999998</v>
      </c>
      <c r="GO13" s="1">
        <v>257.74700000000001</v>
      </c>
      <c r="GP13" s="1">
        <v>252.12200000000001</v>
      </c>
      <c r="GQ13" s="1">
        <v>245.81</v>
      </c>
      <c r="GR13" s="1">
        <v>244.83699999999999</v>
      </c>
      <c r="GS13" s="1">
        <v>241.09100000000001</v>
      </c>
      <c r="GT13" s="1">
        <v>247.70099999999999</v>
      </c>
      <c r="GU13" s="1">
        <v>254.24799999999999</v>
      </c>
      <c r="GV13" s="1">
        <v>258.16300000000001</v>
      </c>
      <c r="GW13" s="1">
        <v>256.65699999999998</v>
      </c>
      <c r="GX13" s="1">
        <v>256.96699999999998</v>
      </c>
      <c r="GY13" s="1">
        <v>259.947</v>
      </c>
      <c r="GZ13" s="1">
        <v>260.19400000000002</v>
      </c>
      <c r="HA13" s="1">
        <v>268.59500000000003</v>
      </c>
      <c r="HB13" s="1">
        <v>267.399</v>
      </c>
      <c r="HC13" s="1">
        <v>262.471</v>
      </c>
      <c r="HD13" s="1">
        <v>256.84500000000003</v>
      </c>
      <c r="HE13" s="1">
        <v>249.72900000000001</v>
      </c>
      <c r="HF13" s="1">
        <v>245.471</v>
      </c>
      <c r="HG13" s="1">
        <v>245.65299999999999</v>
      </c>
      <c r="HH13" s="1">
        <v>250.47499999999999</v>
      </c>
      <c r="HI13" s="1">
        <v>248.53299999999999</v>
      </c>
      <c r="HJ13" s="1">
        <v>249.595</v>
      </c>
      <c r="HK13" s="1">
        <v>251.89500000000001</v>
      </c>
      <c r="HL13" s="1">
        <v>251.16499999999999</v>
      </c>
      <c r="HM13" s="1">
        <v>252.523</v>
      </c>
      <c r="HN13" s="1">
        <v>255.65199999999999</v>
      </c>
      <c r="HO13" s="1">
        <v>255.047</v>
      </c>
      <c r="HP13" s="1">
        <v>257.99400000000003</v>
      </c>
      <c r="HQ13" s="1">
        <v>260.41800000000001</v>
      </c>
      <c r="HR13" s="1">
        <v>262.39999999999998</v>
      </c>
      <c r="HS13" s="1">
        <v>258.916</v>
      </c>
      <c r="HT13" s="1">
        <v>259.99099999999999</v>
      </c>
      <c r="HU13" s="1">
        <v>265.03899999999999</v>
      </c>
      <c r="HV13" s="1">
        <v>269.58999999999997</v>
      </c>
      <c r="HW13" s="1">
        <v>276.88600000000002</v>
      </c>
      <c r="HX13" s="1">
        <v>280.88</v>
      </c>
      <c r="HY13" s="1">
        <v>270.98899999999998</v>
      </c>
      <c r="HZ13" s="1">
        <v>277.58800000000002</v>
      </c>
      <c r="IA13" s="1">
        <v>279.60700000000003</v>
      </c>
      <c r="IB13" s="1">
        <v>288.649</v>
      </c>
      <c r="IC13" s="1">
        <v>289.161</v>
      </c>
      <c r="ID13" s="1">
        <v>292.06400000000002</v>
      </c>
      <c r="IE13" s="1">
        <v>303.19799999999998</v>
      </c>
      <c r="IF13" s="1">
        <v>306.88799999999998</v>
      </c>
      <c r="IG13" s="1">
        <v>308.48099999999999</v>
      </c>
      <c r="IH13" s="1">
        <v>304.04500000000002</v>
      </c>
      <c r="II13" s="1">
        <v>303.24700000000001</v>
      </c>
      <c r="IJ13" s="1">
        <v>304.03300000000002</v>
      </c>
      <c r="IK13" s="1">
        <v>303.64</v>
      </c>
      <c r="IL13" s="1">
        <v>298.50599999999997</v>
      </c>
      <c r="IM13" s="1">
        <v>292.279</v>
      </c>
      <c r="IN13" s="1">
        <v>291.97300000000001</v>
      </c>
      <c r="IO13" s="1">
        <v>288.22800000000001</v>
      </c>
      <c r="IP13" s="1">
        <v>275.81900000000002</v>
      </c>
      <c r="IQ13" s="1">
        <v>277.27499999999998</v>
      </c>
      <c r="IR13" s="1">
        <v>274.42700000000002</v>
      </c>
      <c r="IS13" s="1">
        <v>283.101</v>
      </c>
      <c r="IT13" s="1">
        <v>294.22800000000001</v>
      </c>
      <c r="IU13" s="1">
        <v>296.90199999999999</v>
      </c>
      <c r="IV13" s="1">
        <v>291.012</v>
      </c>
      <c r="IW13" s="1">
        <v>287.14800000000002</v>
      </c>
      <c r="IX13" s="1">
        <v>279.755</v>
      </c>
      <c r="IY13" s="1">
        <v>280.80200000000002</v>
      </c>
      <c r="IZ13" s="1">
        <v>285.75599999999997</v>
      </c>
      <c r="JA13" s="1">
        <v>289.13200000000001</v>
      </c>
      <c r="JB13" s="1">
        <v>289.137</v>
      </c>
      <c r="JC13" s="1">
        <v>289.72000000000003</v>
      </c>
      <c r="JD13" t="s">
        <v>45</v>
      </c>
    </row>
    <row r="14" spans="1:264" x14ac:dyDescent="0.25">
      <c r="A14" s="4" t="s">
        <v>11</v>
      </c>
      <c r="B14" t="s">
        <v>34</v>
      </c>
      <c r="C14" t="s">
        <v>37</v>
      </c>
      <c r="D14" t="s">
        <v>43</v>
      </c>
      <c r="F14" t="s">
        <v>39</v>
      </c>
      <c r="G14" s="3">
        <f ca="1">_xll.BDH(A14&amp;" corp",D14,TODAY()-365,TODAY(),"pcs="&amp;B14,"dir=h","dates=h","sort=r","fill=-","cols=187;rows=1")</f>
        <v>356.72800000000001</v>
      </c>
      <c r="H14" s="1">
        <v>361.92700000000002</v>
      </c>
      <c r="I14" s="1">
        <v>366.94799999999998</v>
      </c>
      <c r="J14" s="1">
        <v>357.11599999999999</v>
      </c>
      <c r="K14" s="1">
        <v>353.73200000000003</v>
      </c>
      <c r="L14" s="1">
        <v>351.28500000000003</v>
      </c>
      <c r="M14" s="1">
        <v>351.73500000000001</v>
      </c>
      <c r="N14" s="1">
        <v>350.81700000000001</v>
      </c>
      <c r="O14" s="1">
        <v>349.142</v>
      </c>
      <c r="P14" s="1">
        <v>350.71199999999999</v>
      </c>
      <c r="Q14" s="1">
        <v>363.62900000000002</v>
      </c>
      <c r="R14" s="1">
        <v>369.70800000000003</v>
      </c>
      <c r="S14" s="1">
        <v>371.077</v>
      </c>
      <c r="T14" s="1">
        <v>376.86799999999999</v>
      </c>
      <c r="U14" s="1">
        <v>381.488</v>
      </c>
      <c r="V14" s="1">
        <v>386.25700000000001</v>
      </c>
      <c r="W14" s="1">
        <v>392.58300000000003</v>
      </c>
      <c r="X14" s="1">
        <v>383.488</v>
      </c>
      <c r="Y14" s="1">
        <v>371</v>
      </c>
      <c r="Z14" s="1">
        <v>374.33600000000001</v>
      </c>
      <c r="AA14" s="1">
        <v>379.71499999999997</v>
      </c>
      <c r="AB14" s="1">
        <v>356.11</v>
      </c>
      <c r="AC14" s="1">
        <v>360.11700000000002</v>
      </c>
      <c r="AD14" s="1">
        <v>363.22699999999998</v>
      </c>
      <c r="AE14" s="1">
        <v>371.161</v>
      </c>
      <c r="AF14" s="1">
        <v>371.774</v>
      </c>
      <c r="AG14" s="1">
        <v>368.66899999999998</v>
      </c>
      <c r="AH14" s="1">
        <v>362.15899999999999</v>
      </c>
      <c r="AI14" s="1">
        <v>364.41300000000001</v>
      </c>
      <c r="AJ14" s="1">
        <v>364.34</v>
      </c>
      <c r="AK14" s="1">
        <v>360.40699999999998</v>
      </c>
      <c r="AL14" s="1">
        <v>361.911</v>
      </c>
      <c r="AM14" s="1">
        <v>361.11900000000003</v>
      </c>
      <c r="AN14" s="1">
        <v>361.11599999999999</v>
      </c>
      <c r="AO14" s="1">
        <v>361.36200000000002</v>
      </c>
      <c r="AP14" s="1">
        <v>361.61200000000002</v>
      </c>
      <c r="AQ14" s="1">
        <v>360.63</v>
      </c>
      <c r="AR14" s="1">
        <v>358.38400000000001</v>
      </c>
      <c r="AS14" s="1">
        <v>356.98399999999998</v>
      </c>
      <c r="AT14" s="1">
        <v>356.56200000000001</v>
      </c>
      <c r="AU14" s="1">
        <v>365.13200000000001</v>
      </c>
      <c r="AV14" s="1">
        <v>369.166</v>
      </c>
      <c r="AW14" s="1">
        <v>368.495</v>
      </c>
      <c r="AX14" s="1">
        <v>364.89100000000002</v>
      </c>
      <c r="AY14" s="1">
        <v>360.69299999999998</v>
      </c>
      <c r="AZ14" s="1">
        <v>358.62599999999998</v>
      </c>
      <c r="BA14" s="1">
        <v>352.90300000000002</v>
      </c>
      <c r="BB14" s="1">
        <v>350.49400000000003</v>
      </c>
      <c r="BC14" s="1">
        <v>353.17700000000002</v>
      </c>
      <c r="BD14" s="1">
        <v>356.80399999999997</v>
      </c>
      <c r="BE14" s="1">
        <v>366.39699999999999</v>
      </c>
      <c r="BF14" s="1">
        <v>369.99700000000001</v>
      </c>
      <c r="BG14" s="1">
        <v>371.68799999999999</v>
      </c>
      <c r="BH14" s="1">
        <v>370.38299999999998</v>
      </c>
      <c r="BI14" s="1">
        <v>374.03300000000002</v>
      </c>
      <c r="BJ14" s="1">
        <v>371.22</v>
      </c>
      <c r="BK14" s="1">
        <v>364.87700000000001</v>
      </c>
      <c r="BL14" s="1">
        <v>359.983</v>
      </c>
      <c r="BM14" s="1">
        <v>349.57600000000002</v>
      </c>
      <c r="BN14" s="1">
        <v>345.58100000000002</v>
      </c>
      <c r="BO14" s="1">
        <v>341.637</v>
      </c>
      <c r="BP14" s="1">
        <v>337.8</v>
      </c>
      <c r="BQ14" s="1">
        <v>338.94099999999997</v>
      </c>
      <c r="BR14" s="1">
        <v>340.45100000000002</v>
      </c>
      <c r="BS14" s="1">
        <v>338.428</v>
      </c>
      <c r="BT14" s="1">
        <v>351.99700000000001</v>
      </c>
      <c r="BU14" s="1">
        <v>357.24099999999999</v>
      </c>
      <c r="BV14" s="1">
        <v>359.392</v>
      </c>
      <c r="BW14" s="1">
        <v>358.95</v>
      </c>
      <c r="BX14" s="1">
        <v>361.88499999999999</v>
      </c>
      <c r="BY14" s="1">
        <v>358.59</v>
      </c>
      <c r="BZ14" s="1">
        <v>363.77600000000001</v>
      </c>
      <c r="CA14" s="1">
        <v>355.85599999999999</v>
      </c>
      <c r="CB14" s="1">
        <v>350.21100000000001</v>
      </c>
      <c r="CC14" s="1">
        <v>347.11</v>
      </c>
      <c r="CD14" s="1">
        <v>348.363</v>
      </c>
      <c r="CE14" s="1">
        <v>354.798</v>
      </c>
      <c r="CF14" s="1">
        <v>357.87299999999999</v>
      </c>
      <c r="CG14" s="1">
        <v>362.57600000000002</v>
      </c>
      <c r="CH14" s="1">
        <v>367.17899999999997</v>
      </c>
      <c r="CI14" s="1">
        <v>368.68</v>
      </c>
      <c r="CJ14" s="1">
        <v>368.86099999999999</v>
      </c>
      <c r="CK14" s="1">
        <v>366.572</v>
      </c>
      <c r="CL14" s="1">
        <v>363.13499999999999</v>
      </c>
      <c r="CM14" s="1">
        <v>358.72500000000002</v>
      </c>
      <c r="CN14" s="1">
        <v>359.46199999999999</v>
      </c>
      <c r="CO14" s="1">
        <v>351.76499999999999</v>
      </c>
      <c r="CP14" s="1">
        <v>350.12599999999998</v>
      </c>
      <c r="CQ14" s="1">
        <v>343.34100000000001</v>
      </c>
      <c r="CR14" s="1">
        <v>337.24299999999999</v>
      </c>
      <c r="CS14" s="1">
        <v>358.488</v>
      </c>
      <c r="CT14" s="1">
        <v>353.32900000000001</v>
      </c>
      <c r="CU14" s="1">
        <v>353.495</v>
      </c>
      <c r="CV14" s="1">
        <v>326.608</v>
      </c>
      <c r="CW14" s="1">
        <v>309.786</v>
      </c>
      <c r="CX14" s="1">
        <v>295.935</v>
      </c>
      <c r="CY14" s="1">
        <v>309.23399999999998</v>
      </c>
      <c r="CZ14" s="1">
        <v>334.04700000000003</v>
      </c>
      <c r="DA14" s="1">
        <v>344.69900000000001</v>
      </c>
      <c r="DB14" s="1">
        <v>364.31200000000001</v>
      </c>
      <c r="DC14" s="1">
        <v>364.827</v>
      </c>
      <c r="DD14" s="1">
        <v>365.99799999999999</v>
      </c>
      <c r="DE14" s="1">
        <v>357.57299999999998</v>
      </c>
      <c r="DF14" s="1">
        <v>352.34399999999999</v>
      </c>
      <c r="DG14" s="1">
        <v>362.072</v>
      </c>
      <c r="DH14" s="1">
        <v>373.63799999999998</v>
      </c>
      <c r="DI14" s="1">
        <v>379.33699999999999</v>
      </c>
      <c r="DJ14" s="1">
        <v>377.36200000000002</v>
      </c>
      <c r="DK14" s="1">
        <v>379.904</v>
      </c>
      <c r="DL14" s="1">
        <v>390.93599999999998</v>
      </c>
      <c r="DM14" s="1">
        <v>402.68099999999998</v>
      </c>
      <c r="DN14" s="1">
        <v>411.05799999999999</v>
      </c>
      <c r="DO14" s="1">
        <v>410.988</v>
      </c>
      <c r="DP14" s="1">
        <v>393.37400000000002</v>
      </c>
      <c r="DQ14" s="1">
        <v>385.81599999999997</v>
      </c>
      <c r="DR14" s="1">
        <v>383.68200000000002</v>
      </c>
      <c r="DS14" s="1">
        <v>382.14100000000002</v>
      </c>
      <c r="DT14" s="1">
        <v>386.24400000000003</v>
      </c>
      <c r="DU14" s="1">
        <v>409.83199999999999</v>
      </c>
      <c r="DV14" s="1">
        <v>416.11799999999999</v>
      </c>
      <c r="DW14" s="1">
        <v>419.56299999999999</v>
      </c>
      <c r="DX14" s="1">
        <v>409.48700000000002</v>
      </c>
      <c r="DY14" s="1">
        <v>394.3</v>
      </c>
      <c r="DZ14" s="1">
        <v>383.58699999999999</v>
      </c>
      <c r="EA14" s="1">
        <v>375.54500000000002</v>
      </c>
      <c r="EB14" s="1">
        <v>369.93400000000003</v>
      </c>
      <c r="EC14" s="1">
        <v>383.43799999999999</v>
      </c>
      <c r="ED14" s="1">
        <v>387.15899999999999</v>
      </c>
      <c r="EE14" s="1">
        <v>400.28300000000002</v>
      </c>
      <c r="EF14" s="1">
        <v>405.95699999999999</v>
      </c>
      <c r="EG14" s="1">
        <v>392.012</v>
      </c>
      <c r="EH14" s="1">
        <v>387.25900000000001</v>
      </c>
      <c r="EI14" s="1">
        <v>392.62299999999999</v>
      </c>
      <c r="EJ14" s="1">
        <v>371.37700000000001</v>
      </c>
      <c r="EK14" s="1">
        <v>370.09500000000003</v>
      </c>
      <c r="EL14" s="1">
        <v>413.48200000000003</v>
      </c>
      <c r="EM14" s="1">
        <v>446.32600000000002</v>
      </c>
      <c r="EN14" s="1">
        <v>468.10599999999999</v>
      </c>
      <c r="EO14" s="1">
        <v>502.548</v>
      </c>
      <c r="EP14" s="1">
        <v>511.041</v>
      </c>
      <c r="EQ14" s="1">
        <v>508.69</v>
      </c>
      <c r="ER14" s="1">
        <v>507.83100000000002</v>
      </c>
      <c r="ES14" s="1">
        <v>505.358</v>
      </c>
      <c r="ET14" s="1">
        <v>513.29</v>
      </c>
      <c r="EU14" s="1">
        <v>508.88299999999998</v>
      </c>
      <c r="EV14" s="1">
        <v>517.58399999999995</v>
      </c>
      <c r="EW14" s="1">
        <v>528.33000000000004</v>
      </c>
      <c r="EX14" s="1">
        <v>599.82799999999997</v>
      </c>
      <c r="EY14" s="1">
        <v>628.303</v>
      </c>
      <c r="EZ14" s="1">
        <v>589.03599999999994</v>
      </c>
      <c r="FA14" s="1">
        <v>630.83399999999995</v>
      </c>
      <c r="FB14" s="1">
        <v>626.94899999999996</v>
      </c>
      <c r="FC14" s="1">
        <v>525.91</v>
      </c>
      <c r="FD14" s="1">
        <v>466.65100000000001</v>
      </c>
      <c r="FE14" s="1">
        <v>391.52</v>
      </c>
      <c r="FF14" s="1">
        <v>391.96699999999998</v>
      </c>
      <c r="FG14" s="1">
        <v>325.31900000000002</v>
      </c>
      <c r="FH14" s="1">
        <v>322.95499999999998</v>
      </c>
      <c r="FI14" s="1">
        <v>339.13900000000001</v>
      </c>
      <c r="FJ14" s="1">
        <v>286.66399999999999</v>
      </c>
      <c r="FK14" s="1">
        <v>262.42200000000003</v>
      </c>
      <c r="FL14" s="1">
        <v>251.03399999999999</v>
      </c>
      <c r="FM14" s="1">
        <v>258.90499999999997</v>
      </c>
      <c r="FN14" s="1">
        <v>281.13400000000001</v>
      </c>
      <c r="FO14" s="1">
        <v>286.28699999999998</v>
      </c>
      <c r="FP14" s="1">
        <v>265.98599999999999</v>
      </c>
      <c r="FQ14" s="1">
        <v>252.26499999999999</v>
      </c>
      <c r="FR14" s="1">
        <v>249.90799999999999</v>
      </c>
      <c r="FS14" s="1">
        <v>241.709</v>
      </c>
      <c r="FT14" s="1">
        <v>223.41300000000001</v>
      </c>
      <c r="FU14" s="1">
        <v>225.851</v>
      </c>
      <c r="FV14" s="1">
        <v>225.773</v>
      </c>
      <c r="FW14" s="1">
        <v>228.48400000000001</v>
      </c>
      <c r="FX14" s="1">
        <v>227.05099999999999</v>
      </c>
      <c r="FY14" s="1">
        <v>227.255</v>
      </c>
      <c r="FZ14" s="1">
        <v>228.375</v>
      </c>
      <c r="GA14" s="1">
        <v>227.56899999999999</v>
      </c>
      <c r="GB14" s="1">
        <v>231.989</v>
      </c>
      <c r="GC14" s="1">
        <v>240.06200000000001</v>
      </c>
      <c r="GD14" s="1">
        <v>236.08199999999999</v>
      </c>
      <c r="GE14" s="1">
        <v>233.95099999999999</v>
      </c>
      <c r="GF14" s="1">
        <v>236.21700000000001</v>
      </c>
      <c r="GG14" s="1">
        <v>244.65299999999999</v>
      </c>
      <c r="GH14" s="1">
        <v>256.31200000000001</v>
      </c>
      <c r="GI14" s="1">
        <v>258.07</v>
      </c>
      <c r="GJ14" s="1">
        <v>257.63099999999997</v>
      </c>
      <c r="GK14" s="1">
        <v>253.23500000000001</v>
      </c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t="s">
        <v>45</v>
      </c>
    </row>
    <row r="15" spans="1:264" x14ac:dyDescent="0.25">
      <c r="A15" s="4" t="s">
        <v>12</v>
      </c>
      <c r="B15" t="s">
        <v>34</v>
      </c>
      <c r="C15" t="s">
        <v>37</v>
      </c>
      <c r="D15" t="s">
        <v>43</v>
      </c>
      <c r="F15" t="s">
        <v>39</v>
      </c>
      <c r="G15" s="3">
        <f ca="1">_xll.BDH(A15&amp;" corp",D15,TODAY()-365,TODAY(),"pcs="&amp;B15,"dir=h","dates=h","sort=r","fill=-","cols=180;rows=1")</f>
        <v>209.61600000000001</v>
      </c>
      <c r="H15" s="1">
        <v>210.89500000000001</v>
      </c>
      <c r="I15" s="1">
        <v>212.33600000000001</v>
      </c>
      <c r="J15" s="1">
        <v>205.16399999999999</v>
      </c>
      <c r="K15" s="1">
        <v>203.90799999999999</v>
      </c>
      <c r="L15" s="1">
        <v>202.64699999999999</v>
      </c>
      <c r="M15" s="1">
        <v>202.56</v>
      </c>
      <c r="N15" s="1">
        <v>202.77699999999999</v>
      </c>
      <c r="O15" s="1">
        <v>199.59800000000001</v>
      </c>
      <c r="P15" s="1">
        <v>200.40899999999999</v>
      </c>
      <c r="Q15" s="1">
        <v>207.07400000000001</v>
      </c>
      <c r="R15" s="1">
        <v>210.12299999999999</v>
      </c>
      <c r="S15" s="1">
        <v>209.90700000000001</v>
      </c>
      <c r="T15" s="1">
        <v>212.59</v>
      </c>
      <c r="U15" s="1">
        <v>217.43299999999999</v>
      </c>
      <c r="V15" s="1">
        <v>218.64599999999999</v>
      </c>
      <c r="W15" s="1">
        <v>221.202</v>
      </c>
      <c r="X15" s="1">
        <v>215.34</v>
      </c>
      <c r="Y15" s="1">
        <v>213.44900000000001</v>
      </c>
      <c r="Z15" s="1">
        <v>214.33099999999999</v>
      </c>
      <c r="AA15" s="1">
        <v>214.40199999999999</v>
      </c>
      <c r="AB15" s="1">
        <v>205.78200000000001</v>
      </c>
      <c r="AC15" s="1">
        <v>206.52500000000001</v>
      </c>
      <c r="AD15" s="1">
        <v>207.06899999999999</v>
      </c>
      <c r="AE15" s="1">
        <v>206.76400000000001</v>
      </c>
      <c r="AF15" s="1">
        <v>207.67500000000001</v>
      </c>
      <c r="AG15" s="1">
        <v>206.37799999999999</v>
      </c>
      <c r="AH15" s="1">
        <v>198.82</v>
      </c>
      <c r="AI15" s="1">
        <v>200.31399999999999</v>
      </c>
      <c r="AJ15" s="1">
        <v>200.352</v>
      </c>
      <c r="AK15" s="1">
        <v>197.59299999999999</v>
      </c>
      <c r="AL15" s="1">
        <v>197.57599999999999</v>
      </c>
      <c r="AM15" s="1">
        <v>199.01</v>
      </c>
      <c r="AN15" s="1">
        <v>198.495</v>
      </c>
      <c r="AO15" s="1">
        <v>197.29900000000001</v>
      </c>
      <c r="AP15" s="1">
        <v>194.35400000000001</v>
      </c>
      <c r="AQ15" s="1">
        <v>196.702</v>
      </c>
      <c r="AR15" s="1">
        <v>195.06700000000001</v>
      </c>
      <c r="AS15" s="1">
        <v>186.26300000000001</v>
      </c>
      <c r="AT15" s="1">
        <v>179.02600000000001</v>
      </c>
      <c r="AU15" s="1">
        <v>182.285</v>
      </c>
      <c r="AV15" s="1">
        <v>183.45500000000001</v>
      </c>
      <c r="AW15" s="1">
        <v>182.96899999999999</v>
      </c>
      <c r="AX15" s="1">
        <v>180.48400000000001</v>
      </c>
      <c r="AY15" s="1">
        <v>179.71899999999999</v>
      </c>
      <c r="AZ15" s="1">
        <v>178.56899999999999</v>
      </c>
      <c r="BA15" s="1">
        <v>177.07400000000001</v>
      </c>
      <c r="BB15" s="1">
        <v>175.428</v>
      </c>
      <c r="BC15" s="1">
        <v>177.94399999999999</v>
      </c>
      <c r="BD15" s="1">
        <v>183.26</v>
      </c>
      <c r="BE15" s="1">
        <v>190.93700000000001</v>
      </c>
      <c r="BF15" s="1">
        <v>192.06399999999999</v>
      </c>
      <c r="BG15" s="1">
        <v>198.61099999999999</v>
      </c>
      <c r="BH15" s="1">
        <v>202.72399999999999</v>
      </c>
      <c r="BI15" s="1">
        <v>208.76599999999999</v>
      </c>
      <c r="BJ15" s="1">
        <v>210.429</v>
      </c>
      <c r="BK15" s="1">
        <v>210.01400000000001</v>
      </c>
      <c r="BL15" s="1">
        <v>210.554</v>
      </c>
      <c r="BM15" s="1">
        <v>206.27699999999999</v>
      </c>
      <c r="BN15" s="1">
        <v>206.13300000000001</v>
      </c>
      <c r="BO15" s="1">
        <v>204.52600000000001</v>
      </c>
      <c r="BP15" s="1">
        <v>201.32400000000001</v>
      </c>
      <c r="BQ15" s="1">
        <v>206.14599999999999</v>
      </c>
      <c r="BR15" s="1">
        <v>209.3</v>
      </c>
      <c r="BS15" s="1">
        <v>208.42599999999999</v>
      </c>
      <c r="BT15" s="1">
        <v>222.559</v>
      </c>
      <c r="BU15" s="1">
        <v>238.14099999999999</v>
      </c>
      <c r="BV15" s="1">
        <v>241.59200000000001</v>
      </c>
      <c r="BW15" s="1">
        <v>242.86799999999999</v>
      </c>
      <c r="BX15" s="1">
        <v>247.34800000000001</v>
      </c>
      <c r="BY15" s="1">
        <v>250.99199999999999</v>
      </c>
      <c r="BZ15" s="1">
        <v>259.76400000000001</v>
      </c>
      <c r="CA15" s="1">
        <v>260.27199999999999</v>
      </c>
      <c r="CB15" s="1">
        <v>258.23899999999998</v>
      </c>
      <c r="CC15" s="1">
        <v>257.18700000000001</v>
      </c>
      <c r="CD15" s="1">
        <v>259.02699999999999</v>
      </c>
      <c r="CE15" s="1">
        <v>267.84500000000003</v>
      </c>
      <c r="CF15" s="1">
        <v>269.29700000000003</v>
      </c>
      <c r="CG15" s="1">
        <v>270.71600000000001</v>
      </c>
      <c r="CH15" s="1">
        <v>274.89100000000002</v>
      </c>
      <c r="CI15" s="1">
        <v>277.11799999999999</v>
      </c>
      <c r="CJ15" s="1">
        <v>277.47300000000001</v>
      </c>
      <c r="CK15" s="1">
        <v>276.01400000000001</v>
      </c>
      <c r="CL15" s="1">
        <v>273.51900000000001</v>
      </c>
      <c r="CM15" s="1">
        <v>271.66899999999998</v>
      </c>
      <c r="CN15" s="1">
        <v>275.464</v>
      </c>
      <c r="CO15" s="1">
        <v>268.77199999999999</v>
      </c>
      <c r="CP15" s="1">
        <v>268.36399999999998</v>
      </c>
      <c r="CQ15" s="1">
        <v>263.38600000000002</v>
      </c>
      <c r="CR15" s="1">
        <v>258.57499999999999</v>
      </c>
      <c r="CS15" s="1">
        <v>273.40600000000001</v>
      </c>
      <c r="CT15" s="1">
        <v>271.52</v>
      </c>
      <c r="CU15" s="1">
        <v>268.48899999999998</v>
      </c>
      <c r="CV15" s="1">
        <v>242.94499999999999</v>
      </c>
      <c r="CW15" s="1">
        <v>231.80099999999999</v>
      </c>
      <c r="CX15" s="1">
        <v>224.202</v>
      </c>
      <c r="CY15" s="1">
        <v>231.18199999999999</v>
      </c>
      <c r="CZ15" s="1">
        <v>249.93</v>
      </c>
      <c r="DA15" s="1">
        <v>256.464</v>
      </c>
      <c r="DB15" s="1">
        <v>264.87400000000002</v>
      </c>
      <c r="DC15" s="1">
        <v>266.65499999999997</v>
      </c>
      <c r="DD15" s="1">
        <v>267.233</v>
      </c>
      <c r="DE15" s="1">
        <v>261.75200000000001</v>
      </c>
      <c r="DF15" s="1">
        <v>263.45400000000001</v>
      </c>
      <c r="DG15" s="1">
        <v>269.17</v>
      </c>
      <c r="DH15" s="1">
        <v>279.58600000000001</v>
      </c>
      <c r="DI15" s="1">
        <v>281.392</v>
      </c>
      <c r="DJ15" s="1">
        <v>285.30399999999997</v>
      </c>
      <c r="DK15" s="1">
        <v>287.964</v>
      </c>
      <c r="DL15" s="1">
        <v>290.50299999999999</v>
      </c>
      <c r="DM15" s="1">
        <v>298.40199999999999</v>
      </c>
      <c r="DN15" s="1">
        <v>304.00599999999997</v>
      </c>
      <c r="DO15" s="1">
        <v>300.40300000000002</v>
      </c>
      <c r="DP15" s="1">
        <v>296.495</v>
      </c>
      <c r="DQ15" s="1">
        <v>292.96300000000002</v>
      </c>
      <c r="DR15" s="1">
        <v>292.16000000000003</v>
      </c>
      <c r="DS15" s="1">
        <v>289.87599999999998</v>
      </c>
      <c r="DT15" s="1">
        <v>292.173</v>
      </c>
      <c r="DU15" s="1">
        <v>292.04700000000003</v>
      </c>
      <c r="DV15" s="1">
        <v>296.36099999999999</v>
      </c>
      <c r="DW15" s="1">
        <v>296.92099999999999</v>
      </c>
      <c r="DX15" s="1">
        <v>283.596</v>
      </c>
      <c r="DY15" s="1">
        <v>283.173</v>
      </c>
      <c r="DZ15" s="1">
        <v>276.20299999999997</v>
      </c>
      <c r="EA15" s="1">
        <v>273.87200000000001</v>
      </c>
      <c r="EB15" s="1">
        <v>270.36</v>
      </c>
      <c r="EC15" s="1">
        <v>285.75200000000001</v>
      </c>
      <c r="ED15" s="1">
        <v>286.68700000000001</v>
      </c>
      <c r="EE15" s="1">
        <v>288.67599999999999</v>
      </c>
      <c r="EF15" s="1">
        <v>297.25299999999999</v>
      </c>
      <c r="EG15" s="1">
        <v>296.73399999999998</v>
      </c>
      <c r="EH15" s="1">
        <v>302.23899999999998</v>
      </c>
      <c r="EI15" s="1">
        <v>309.12900000000002</v>
      </c>
      <c r="EJ15" s="1">
        <v>298.91300000000001</v>
      </c>
      <c r="EK15" s="1">
        <v>298.68299999999999</v>
      </c>
      <c r="EL15" s="1">
        <v>327.01600000000002</v>
      </c>
      <c r="EM15" s="1">
        <v>356.06400000000002</v>
      </c>
      <c r="EN15" s="1">
        <v>372.54199999999997</v>
      </c>
      <c r="EO15" s="1">
        <v>394.209</v>
      </c>
      <c r="EP15" s="1">
        <v>398.21600000000001</v>
      </c>
      <c r="EQ15" s="1">
        <v>397.52800000000002</v>
      </c>
      <c r="ER15" s="1">
        <v>398.40899999999999</v>
      </c>
      <c r="ES15" s="1">
        <v>397.26100000000002</v>
      </c>
      <c r="ET15" s="1">
        <v>401.99400000000003</v>
      </c>
      <c r="EU15" s="1">
        <v>402.03899999999999</v>
      </c>
      <c r="EV15" s="1">
        <v>401.78</v>
      </c>
      <c r="EW15" s="1">
        <v>396.02699999999999</v>
      </c>
      <c r="EX15" s="1">
        <v>421.983</v>
      </c>
      <c r="EY15" s="1">
        <v>431.19299999999998</v>
      </c>
      <c r="EZ15" s="1">
        <v>410.52199999999999</v>
      </c>
      <c r="FA15" s="1">
        <v>408.36099999999999</v>
      </c>
      <c r="FB15" s="1">
        <v>415.16899999999998</v>
      </c>
      <c r="FC15" s="1">
        <v>355.72300000000001</v>
      </c>
      <c r="FD15" s="1">
        <v>313.69</v>
      </c>
      <c r="FE15" s="1">
        <v>271.87</v>
      </c>
      <c r="FF15" s="1">
        <v>271.25599999999997</v>
      </c>
      <c r="FG15" s="1">
        <v>245.47300000000001</v>
      </c>
      <c r="FH15" s="1">
        <v>244.06200000000001</v>
      </c>
      <c r="FI15" s="1">
        <v>253.67</v>
      </c>
      <c r="FJ15" s="1">
        <v>216.203</v>
      </c>
      <c r="FK15" s="1">
        <v>199.01300000000001</v>
      </c>
      <c r="FL15" s="1">
        <v>191.333</v>
      </c>
      <c r="FM15" s="1">
        <v>192.95500000000001</v>
      </c>
      <c r="FN15" s="1">
        <v>204.46299999999999</v>
      </c>
      <c r="FO15" s="1">
        <v>200.74799999999999</v>
      </c>
      <c r="FP15" s="1">
        <v>187.233</v>
      </c>
      <c r="FQ15" s="1">
        <v>178.64599999999999</v>
      </c>
      <c r="FR15" s="1">
        <v>174.63499999999999</v>
      </c>
      <c r="FS15" s="1">
        <v>169.24799999999999</v>
      </c>
      <c r="FT15" s="1">
        <v>157.494</v>
      </c>
      <c r="FU15" s="1">
        <v>159.14500000000001</v>
      </c>
      <c r="FV15" s="1">
        <v>160.36799999999999</v>
      </c>
      <c r="FW15" s="1">
        <v>164.66200000000001</v>
      </c>
      <c r="FX15" s="1">
        <v>164.05699999999999</v>
      </c>
      <c r="FY15" s="1">
        <v>164.298</v>
      </c>
      <c r="FZ15" s="1">
        <v>166.012</v>
      </c>
      <c r="GA15" s="1">
        <v>165.1</v>
      </c>
      <c r="GB15" s="1">
        <v>167.01400000000001</v>
      </c>
      <c r="GC15" s="1">
        <v>169.922</v>
      </c>
      <c r="GD15" s="1">
        <v>166.68799999999999</v>
      </c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t="s">
        <v>45</v>
      </c>
    </row>
    <row r="16" spans="1:264" x14ac:dyDescent="0.25">
      <c r="A16" s="4" t="s">
        <v>13</v>
      </c>
      <c r="B16" t="s">
        <v>34</v>
      </c>
      <c r="C16" t="s">
        <v>37</v>
      </c>
      <c r="D16" t="s">
        <v>43</v>
      </c>
      <c r="F16" t="s">
        <v>39</v>
      </c>
      <c r="G16" s="3">
        <f ca="1">_xll.BDH(A16&amp;" corp",D16,TODAY()-365,TODAY(),"pcs="&amp;B16,"dir=h","dates=h","sort=r","fill=-","cols=32;rows=1")</f>
        <v>207.09299999999999</v>
      </c>
      <c r="H16" s="1">
        <v>208.947</v>
      </c>
      <c r="I16" s="1">
        <v>208.69900000000001</v>
      </c>
      <c r="J16" s="1">
        <v>205.47200000000001</v>
      </c>
      <c r="K16" s="1">
        <v>202.82400000000001</v>
      </c>
      <c r="L16" s="1">
        <v>201.75800000000001</v>
      </c>
      <c r="M16" s="1">
        <v>200.74700000000001</v>
      </c>
      <c r="N16" s="1">
        <v>199.779</v>
      </c>
      <c r="O16" s="1">
        <v>197.816</v>
      </c>
      <c r="P16" s="1">
        <v>198.04900000000001</v>
      </c>
      <c r="Q16" s="1">
        <v>202.24100000000001</v>
      </c>
      <c r="R16" s="1">
        <v>205.935</v>
      </c>
      <c r="S16" s="1">
        <v>205.79</v>
      </c>
      <c r="T16" s="1">
        <v>208.428</v>
      </c>
      <c r="U16" s="1">
        <v>217.20099999999999</v>
      </c>
      <c r="V16" s="1">
        <v>219.01499999999999</v>
      </c>
      <c r="W16" s="1">
        <v>220.95699999999999</v>
      </c>
      <c r="X16" s="1">
        <v>216.40199999999999</v>
      </c>
      <c r="Y16" s="1">
        <v>210.30500000000001</v>
      </c>
      <c r="Z16" s="1">
        <v>210.411</v>
      </c>
      <c r="AA16" s="1">
        <v>209.56</v>
      </c>
      <c r="AB16" s="1">
        <v>203.529</v>
      </c>
      <c r="AC16" s="1">
        <v>204.96199999999999</v>
      </c>
      <c r="AD16" s="1">
        <v>205.05500000000001</v>
      </c>
      <c r="AE16" s="1">
        <v>207.172</v>
      </c>
      <c r="AF16" s="1">
        <v>207.399</v>
      </c>
      <c r="AG16" s="1">
        <v>205.41900000000001</v>
      </c>
      <c r="AH16" s="1">
        <v>199.733</v>
      </c>
      <c r="AI16" s="1">
        <v>202.33099999999999</v>
      </c>
      <c r="AJ16" s="1">
        <v>204.15</v>
      </c>
      <c r="AK16" s="1">
        <v>202.05500000000001</v>
      </c>
      <c r="AL16" s="1">
        <v>202.596</v>
      </c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t="s">
        <v>45</v>
      </c>
    </row>
    <row r="17" spans="1:264" x14ac:dyDescent="0.25">
      <c r="A17" s="4" t="s">
        <v>14</v>
      </c>
      <c r="B17" t="s">
        <v>34</v>
      </c>
      <c r="C17" t="s">
        <v>37</v>
      </c>
      <c r="D17" t="s">
        <v>43</v>
      </c>
      <c r="F17" t="s">
        <v>39</v>
      </c>
      <c r="G17" s="3">
        <f ca="1">_xll.BDH(A17&amp;" corp",D17,TODAY()-365,TODAY(),"pcs="&amp;B17,"dir=h","dates=h","sort=r","fill=-","cols=256;rows=1")</f>
        <v>231.81</v>
      </c>
      <c r="H17" s="1">
        <v>232.87700000000001</v>
      </c>
      <c r="I17" s="1">
        <v>233.04900000000001</v>
      </c>
      <c r="J17" s="1">
        <v>229.233</v>
      </c>
      <c r="K17" s="1">
        <v>227.28</v>
      </c>
      <c r="L17" s="1">
        <v>226.52699999999999</v>
      </c>
      <c r="M17" s="1">
        <v>226.03299999999999</v>
      </c>
      <c r="N17" s="1">
        <v>225.53800000000001</v>
      </c>
      <c r="O17" s="1">
        <v>223.24199999999999</v>
      </c>
      <c r="P17" s="1">
        <v>223.97499999999999</v>
      </c>
      <c r="Q17" s="1">
        <v>226.33500000000001</v>
      </c>
      <c r="R17" s="1">
        <v>228.74199999999999</v>
      </c>
      <c r="S17" s="1">
        <v>228.624</v>
      </c>
      <c r="T17" s="1">
        <v>230.78800000000001</v>
      </c>
      <c r="U17" s="1">
        <v>234.88200000000001</v>
      </c>
      <c r="V17" s="1">
        <v>236.315</v>
      </c>
      <c r="W17" s="1">
        <v>237.75</v>
      </c>
      <c r="X17" s="1">
        <v>232.83699999999999</v>
      </c>
      <c r="Y17" s="1">
        <v>227.82599999999999</v>
      </c>
      <c r="Z17" s="1">
        <v>228.60599999999999</v>
      </c>
      <c r="AA17" s="1">
        <v>229.06700000000001</v>
      </c>
      <c r="AB17" s="1">
        <v>223.34</v>
      </c>
      <c r="AC17" s="1">
        <v>224.87</v>
      </c>
      <c r="AD17" s="1">
        <v>224.72900000000001</v>
      </c>
      <c r="AE17" s="1">
        <v>225.24100000000001</v>
      </c>
      <c r="AF17" s="1">
        <v>224.89400000000001</v>
      </c>
      <c r="AG17" s="1">
        <v>223.76499999999999</v>
      </c>
      <c r="AH17" s="1">
        <v>219.51499999999999</v>
      </c>
      <c r="AI17" s="1">
        <v>221.27600000000001</v>
      </c>
      <c r="AJ17" s="1">
        <v>223.05799999999999</v>
      </c>
      <c r="AK17" s="1">
        <v>219.03</v>
      </c>
      <c r="AL17" s="1">
        <v>219.184</v>
      </c>
      <c r="AM17" s="1">
        <v>220.535</v>
      </c>
      <c r="AN17" s="1">
        <v>219.60499999999999</v>
      </c>
      <c r="AO17" s="1">
        <v>218.82300000000001</v>
      </c>
      <c r="AP17" s="1">
        <v>216.32900000000001</v>
      </c>
      <c r="AQ17" s="1">
        <v>216.46100000000001</v>
      </c>
      <c r="AR17" s="1">
        <v>215.399</v>
      </c>
      <c r="AS17" s="1">
        <v>214.85300000000001</v>
      </c>
      <c r="AT17" s="1">
        <v>214.44399999999999</v>
      </c>
      <c r="AU17" s="1">
        <v>219.46100000000001</v>
      </c>
      <c r="AV17" s="1">
        <v>220.53399999999999</v>
      </c>
      <c r="AW17" s="1">
        <v>220.012</v>
      </c>
      <c r="AX17" s="1">
        <v>217.76599999999999</v>
      </c>
      <c r="AY17" s="1">
        <v>217.363</v>
      </c>
      <c r="AZ17" s="1">
        <v>215.81</v>
      </c>
      <c r="BA17" s="1">
        <v>211.99299999999999</v>
      </c>
      <c r="BB17" s="1">
        <v>211.02099999999999</v>
      </c>
      <c r="BC17" s="1">
        <v>213.82499999999999</v>
      </c>
      <c r="BD17" s="1">
        <v>217.13800000000001</v>
      </c>
      <c r="BE17" s="1">
        <v>225.77600000000001</v>
      </c>
      <c r="BF17" s="1">
        <v>224.90600000000001</v>
      </c>
      <c r="BG17" s="1">
        <v>228.529</v>
      </c>
      <c r="BH17" s="1">
        <v>228.58099999999999</v>
      </c>
      <c r="BI17" s="1">
        <v>236.44900000000001</v>
      </c>
      <c r="BJ17" s="1">
        <v>236.12799999999999</v>
      </c>
      <c r="BK17" s="1">
        <v>236.798</v>
      </c>
      <c r="BL17" s="1">
        <v>238.04499999999999</v>
      </c>
      <c r="BM17" s="1">
        <v>232.48400000000001</v>
      </c>
      <c r="BN17" s="1">
        <v>232.524</v>
      </c>
      <c r="BO17" s="1">
        <v>229.20699999999999</v>
      </c>
      <c r="BP17" s="1">
        <v>225.959</v>
      </c>
      <c r="BQ17" s="1">
        <v>226.58600000000001</v>
      </c>
      <c r="BR17" s="1">
        <v>227.80099999999999</v>
      </c>
      <c r="BS17" s="1">
        <v>226.19200000000001</v>
      </c>
      <c r="BT17" s="1">
        <v>233.864</v>
      </c>
      <c r="BU17" s="1">
        <v>240.28</v>
      </c>
      <c r="BV17" s="1">
        <v>242.84399999999999</v>
      </c>
      <c r="BW17" s="1">
        <v>243.45699999999999</v>
      </c>
      <c r="BX17" s="1">
        <v>245.089</v>
      </c>
      <c r="BY17" s="1">
        <v>243.33199999999999</v>
      </c>
      <c r="BZ17" s="1">
        <v>248.52199999999999</v>
      </c>
      <c r="CA17" s="1">
        <v>247.24299999999999</v>
      </c>
      <c r="CB17" s="1">
        <v>244.32499999999999</v>
      </c>
      <c r="CC17" s="1">
        <v>241.839</v>
      </c>
      <c r="CD17" s="1">
        <v>241.32499999999999</v>
      </c>
      <c r="CE17" s="1">
        <v>245.47399999999999</v>
      </c>
      <c r="CF17" s="1">
        <v>246.285</v>
      </c>
      <c r="CG17" s="1">
        <v>246.95599999999999</v>
      </c>
      <c r="CH17" s="1">
        <v>251.9</v>
      </c>
      <c r="CI17" s="1">
        <v>253.95599999999999</v>
      </c>
      <c r="CJ17" s="1">
        <v>252.965</v>
      </c>
      <c r="CK17" s="1">
        <v>251.61600000000001</v>
      </c>
      <c r="CL17" s="1">
        <v>249.089</v>
      </c>
      <c r="CM17" s="1">
        <v>245.64699999999999</v>
      </c>
      <c r="CN17" s="1">
        <v>247.291</v>
      </c>
      <c r="CO17" s="1">
        <v>240.608</v>
      </c>
      <c r="CP17" s="1">
        <v>239.80199999999999</v>
      </c>
      <c r="CQ17" s="1">
        <v>233.471</v>
      </c>
      <c r="CR17" s="1">
        <v>229.535</v>
      </c>
      <c r="CS17" s="1">
        <v>238.96199999999999</v>
      </c>
      <c r="CT17" s="1">
        <v>234.68299999999999</v>
      </c>
      <c r="CU17" s="1">
        <v>235.12200000000001</v>
      </c>
      <c r="CV17" s="1">
        <v>223.78100000000001</v>
      </c>
      <c r="CW17" s="1">
        <v>215.875</v>
      </c>
      <c r="CX17" s="1">
        <v>211.36099999999999</v>
      </c>
      <c r="CY17" s="1">
        <v>210.71299999999999</v>
      </c>
      <c r="CZ17" s="1">
        <v>222.739</v>
      </c>
      <c r="DA17" s="1">
        <v>227.00299999999999</v>
      </c>
      <c r="DB17" s="1">
        <v>233.50399999999999</v>
      </c>
      <c r="DC17" s="1">
        <v>236.09899999999999</v>
      </c>
      <c r="DD17" s="1">
        <v>237.88</v>
      </c>
      <c r="DE17" s="1">
        <v>234.64</v>
      </c>
      <c r="DF17" s="1">
        <v>234.93299999999999</v>
      </c>
      <c r="DG17" s="1">
        <v>242.083</v>
      </c>
      <c r="DH17" s="1">
        <v>255.1</v>
      </c>
      <c r="DI17" s="1">
        <v>255.23699999999999</v>
      </c>
      <c r="DJ17" s="1">
        <v>256.702</v>
      </c>
      <c r="DK17" s="1">
        <v>258.81900000000002</v>
      </c>
      <c r="DL17" s="1">
        <v>266.47300000000001</v>
      </c>
      <c r="DM17" s="1">
        <v>272.61799999999999</v>
      </c>
      <c r="DN17" s="1">
        <v>278.07</v>
      </c>
      <c r="DO17" s="1">
        <v>278.64</v>
      </c>
      <c r="DP17" s="1">
        <v>276.90800000000002</v>
      </c>
      <c r="DQ17" s="1">
        <v>275.995</v>
      </c>
      <c r="DR17" s="1">
        <v>273.81900000000002</v>
      </c>
      <c r="DS17" s="1">
        <v>268.803</v>
      </c>
      <c r="DT17" s="1">
        <v>275.91699999999997</v>
      </c>
      <c r="DU17" s="1">
        <v>275.86200000000002</v>
      </c>
      <c r="DV17" s="1">
        <v>281.404</v>
      </c>
      <c r="DW17" s="1">
        <v>281.44400000000002</v>
      </c>
      <c r="DX17" s="1">
        <v>276.041</v>
      </c>
      <c r="DY17" s="1">
        <v>274.19799999999998</v>
      </c>
      <c r="DZ17" s="1">
        <v>264.91699999999997</v>
      </c>
      <c r="EA17" s="1">
        <v>262.43599999999998</v>
      </c>
      <c r="EB17" s="1">
        <v>264.82600000000002</v>
      </c>
      <c r="EC17" s="1">
        <v>276.21600000000001</v>
      </c>
      <c r="ED17" s="1">
        <v>278.31400000000002</v>
      </c>
      <c r="EE17" s="1">
        <v>280.80900000000003</v>
      </c>
      <c r="EF17" s="1">
        <v>288.15800000000002</v>
      </c>
      <c r="EG17" s="1">
        <v>285.48399999999998</v>
      </c>
      <c r="EH17" s="1">
        <v>289.08600000000001</v>
      </c>
      <c r="EI17" s="1">
        <v>291.89800000000002</v>
      </c>
      <c r="EJ17" s="1">
        <v>291.34199999999998</v>
      </c>
      <c r="EK17" s="1">
        <v>292.04899999999998</v>
      </c>
      <c r="EL17" s="1">
        <v>309.58</v>
      </c>
      <c r="EM17" s="1">
        <v>317.565</v>
      </c>
      <c r="EN17" s="1">
        <v>323.351</v>
      </c>
      <c r="EO17" s="1">
        <v>336.86700000000002</v>
      </c>
      <c r="EP17" s="1">
        <v>342.51900000000001</v>
      </c>
      <c r="EQ17" s="1">
        <v>344.78699999999998</v>
      </c>
      <c r="ER17" s="1">
        <v>344.78</v>
      </c>
      <c r="ES17" s="1">
        <v>347.40199999999999</v>
      </c>
      <c r="ET17" s="1">
        <v>356.38900000000001</v>
      </c>
      <c r="EU17" s="1">
        <v>358.37900000000002</v>
      </c>
      <c r="EV17" s="1">
        <v>354.32600000000002</v>
      </c>
      <c r="EW17" s="1">
        <v>349.86599999999999</v>
      </c>
      <c r="EX17" s="1">
        <v>372.49299999999999</v>
      </c>
      <c r="EY17" s="1">
        <v>383.517</v>
      </c>
      <c r="EZ17" s="1">
        <v>373.68599999999998</v>
      </c>
      <c r="FA17" s="1">
        <v>368.86200000000002</v>
      </c>
      <c r="FB17" s="1">
        <v>371.67200000000003</v>
      </c>
      <c r="FC17" s="1">
        <v>346.34500000000003</v>
      </c>
      <c r="FD17" s="1">
        <v>311.279</v>
      </c>
      <c r="FE17" s="1">
        <v>279.88099999999997</v>
      </c>
      <c r="FF17" s="1">
        <v>287.608</v>
      </c>
      <c r="FG17" s="1">
        <v>267.73700000000002</v>
      </c>
      <c r="FH17" s="1">
        <v>266.14800000000002</v>
      </c>
      <c r="FI17" s="1">
        <v>275.488</v>
      </c>
      <c r="FJ17" s="1">
        <v>238.148</v>
      </c>
      <c r="FK17" s="1">
        <v>221.29900000000001</v>
      </c>
      <c r="FL17" s="1">
        <v>213.875</v>
      </c>
      <c r="FM17" s="1">
        <v>216.28200000000001</v>
      </c>
      <c r="FN17" s="1">
        <v>224.405</v>
      </c>
      <c r="FO17" s="1">
        <v>224.99199999999999</v>
      </c>
      <c r="FP17" s="1">
        <v>213.34</v>
      </c>
      <c r="FQ17" s="1">
        <v>205.72</v>
      </c>
      <c r="FR17" s="1">
        <v>206.57900000000001</v>
      </c>
      <c r="FS17" s="1">
        <v>201.6</v>
      </c>
      <c r="FT17" s="1">
        <v>189.48500000000001</v>
      </c>
      <c r="FU17" s="1">
        <v>192.78700000000001</v>
      </c>
      <c r="FV17" s="1">
        <v>191.767</v>
      </c>
      <c r="FW17" s="1">
        <v>191.20699999999999</v>
      </c>
      <c r="FX17" s="1">
        <v>190.48599999999999</v>
      </c>
      <c r="FY17" s="1">
        <v>190.792</v>
      </c>
      <c r="FZ17" s="1">
        <v>190.99199999999999</v>
      </c>
      <c r="GA17" s="1">
        <v>189.74</v>
      </c>
      <c r="GB17" s="1">
        <v>190.726</v>
      </c>
      <c r="GC17" s="1">
        <v>192.38</v>
      </c>
      <c r="GD17" s="1">
        <v>188.54599999999999</v>
      </c>
      <c r="GE17" s="1">
        <v>186.18600000000001</v>
      </c>
      <c r="GF17" s="1">
        <v>187.25299999999999</v>
      </c>
      <c r="GG17" s="1">
        <v>193.72499999999999</v>
      </c>
      <c r="GH17" s="1">
        <v>200.00700000000001</v>
      </c>
      <c r="GI17" s="1">
        <v>200.39599999999999</v>
      </c>
      <c r="GJ17" s="1">
        <v>198.11799999999999</v>
      </c>
      <c r="GK17" s="1">
        <v>196.40299999999999</v>
      </c>
      <c r="GL17" s="1">
        <v>195.48500000000001</v>
      </c>
      <c r="GM17" s="1">
        <v>201.76599999999999</v>
      </c>
      <c r="GN17" s="1">
        <v>191.846</v>
      </c>
      <c r="GO17" s="1">
        <v>188.732</v>
      </c>
      <c r="GP17" s="1">
        <v>182.81700000000001</v>
      </c>
      <c r="GQ17" s="1">
        <v>183.208</v>
      </c>
      <c r="GR17" s="1">
        <v>179.55699999999999</v>
      </c>
      <c r="GS17" s="1">
        <v>181.17500000000001</v>
      </c>
      <c r="GT17" s="1">
        <v>187.208</v>
      </c>
      <c r="GU17" s="1">
        <v>187.339</v>
      </c>
      <c r="GV17" s="1">
        <v>185.29300000000001</v>
      </c>
      <c r="GW17" s="1">
        <v>184.053</v>
      </c>
      <c r="GX17" s="1">
        <v>187.828</v>
      </c>
      <c r="GY17" s="1">
        <v>186.79900000000001</v>
      </c>
      <c r="GZ17" s="1">
        <v>189.95099999999999</v>
      </c>
      <c r="HA17" s="1">
        <v>191.27099999999999</v>
      </c>
      <c r="HB17" s="1">
        <v>190.08099999999999</v>
      </c>
      <c r="HC17" s="1">
        <v>189.16300000000001</v>
      </c>
      <c r="HD17" s="1">
        <v>184.636</v>
      </c>
      <c r="HE17" s="1">
        <v>181.417</v>
      </c>
      <c r="HF17" s="1">
        <v>181.929</v>
      </c>
      <c r="HG17" s="1">
        <v>187.77199999999999</v>
      </c>
      <c r="HH17" s="1">
        <v>186.971</v>
      </c>
      <c r="HI17" s="1">
        <v>186.60400000000001</v>
      </c>
      <c r="HJ17" s="1">
        <v>188.89400000000001</v>
      </c>
      <c r="HK17" s="1">
        <v>187.96199999999999</v>
      </c>
      <c r="HL17" s="1">
        <v>189.50700000000001</v>
      </c>
      <c r="HM17" s="1">
        <v>194.261</v>
      </c>
      <c r="HN17" s="1">
        <v>195.42</v>
      </c>
      <c r="HO17" s="1">
        <v>196.15600000000001</v>
      </c>
      <c r="HP17" s="1">
        <v>198.83799999999999</v>
      </c>
      <c r="HQ17" s="1">
        <v>202.899</v>
      </c>
      <c r="HR17" s="1">
        <v>200.57499999999999</v>
      </c>
      <c r="HS17" s="1">
        <v>203.50800000000001</v>
      </c>
      <c r="HT17" s="1">
        <v>205.697</v>
      </c>
      <c r="HU17" s="1">
        <v>209.50299999999999</v>
      </c>
      <c r="HV17" s="1">
        <v>212.755</v>
      </c>
      <c r="HW17" s="1">
        <v>216.87299999999999</v>
      </c>
      <c r="HX17" s="1">
        <v>208.46299999999999</v>
      </c>
      <c r="HY17" s="1">
        <v>214.047</v>
      </c>
      <c r="HZ17" s="1">
        <v>214.768</v>
      </c>
      <c r="IA17" s="1">
        <v>214.38300000000001</v>
      </c>
      <c r="IB17" s="1">
        <v>211.953</v>
      </c>
      <c r="IC17" s="1">
        <v>216.107</v>
      </c>
      <c r="ID17" s="1">
        <v>227.51400000000001</v>
      </c>
      <c r="IE17" s="1">
        <v>227.393</v>
      </c>
      <c r="IF17" s="1">
        <v>227.99299999999999</v>
      </c>
      <c r="IG17" s="1">
        <v>222.14</v>
      </c>
      <c r="IH17" s="1">
        <v>219.35</v>
      </c>
      <c r="II17" s="1">
        <v>218.364</v>
      </c>
      <c r="IJ17" s="1">
        <v>218.46700000000001</v>
      </c>
      <c r="IK17" s="1">
        <v>211.755</v>
      </c>
      <c r="IL17" s="1">
        <v>206.49600000000001</v>
      </c>
      <c r="IM17" s="1">
        <v>204.56</v>
      </c>
      <c r="IN17" s="1">
        <v>204.36199999999999</v>
      </c>
      <c r="IO17" s="1">
        <v>196.62799999999999</v>
      </c>
      <c r="IP17" s="1">
        <v>199.49100000000001</v>
      </c>
      <c r="IQ17" s="1">
        <v>196.46700000000001</v>
      </c>
      <c r="IR17" s="1">
        <v>201.876</v>
      </c>
      <c r="IS17" s="1">
        <v>206.654</v>
      </c>
      <c r="IT17" s="1">
        <v>208.923</v>
      </c>
      <c r="IU17" s="1">
        <v>204.46299999999999</v>
      </c>
      <c r="IV17" s="1">
        <v>202.322</v>
      </c>
      <c r="IW17" s="1">
        <v>197.791</v>
      </c>
      <c r="IX17" s="1">
        <v>200.179</v>
      </c>
      <c r="IY17" s="1">
        <v>205.43100000000001</v>
      </c>
      <c r="IZ17" s="1">
        <v>207.27600000000001</v>
      </c>
      <c r="JA17" s="1">
        <v>203.61699999999999</v>
      </c>
      <c r="JB17" s="1">
        <v>201.02199999999999</v>
      </c>
      <c r="JC17" s="1"/>
      <c r="JD17" t="s">
        <v>45</v>
      </c>
    </row>
    <row r="18" spans="1:264" x14ac:dyDescent="0.25">
      <c r="A18" s="4" t="s">
        <v>15</v>
      </c>
      <c r="B18" t="s">
        <v>34</v>
      </c>
      <c r="C18" t="s">
        <v>37</v>
      </c>
      <c r="D18" t="s">
        <v>43</v>
      </c>
      <c r="E18" t="s">
        <v>58</v>
      </c>
      <c r="F18" t="s">
        <v>39</v>
      </c>
      <c r="G18" s="3">
        <f ca="1">_xll.BDH(A18&amp;" corp",D18,TODAY()-365,TODAY(),"pcs="&amp;B18,"dir=h","dates=h","sort=r","fill=-","cols=256;rows=1")</f>
        <v>313.66399999999999</v>
      </c>
      <c r="H18" s="1">
        <v>317.27100000000002</v>
      </c>
      <c r="I18" s="1">
        <v>319.654</v>
      </c>
      <c r="J18" s="1">
        <v>305.19200000000001</v>
      </c>
      <c r="K18" s="1">
        <v>303.12900000000002</v>
      </c>
      <c r="L18" s="1">
        <v>303.20800000000003</v>
      </c>
      <c r="M18" s="1">
        <v>302.83499999999998</v>
      </c>
      <c r="N18" s="1">
        <v>300.43200000000002</v>
      </c>
      <c r="O18" s="1">
        <v>294.04500000000002</v>
      </c>
      <c r="P18" s="1">
        <v>293.351</v>
      </c>
      <c r="Q18" s="1">
        <v>297.58699999999999</v>
      </c>
      <c r="R18" s="1">
        <v>301.42399999999998</v>
      </c>
      <c r="S18" s="1">
        <v>301.91199999999998</v>
      </c>
      <c r="T18" s="1">
        <v>313.68599999999998</v>
      </c>
      <c r="U18" s="1">
        <v>325.44299999999998</v>
      </c>
      <c r="V18" s="1">
        <v>343.23700000000002</v>
      </c>
      <c r="W18" s="1">
        <v>348.7</v>
      </c>
      <c r="X18" s="1">
        <v>341.07799999999997</v>
      </c>
      <c r="Y18" s="1">
        <v>326.72500000000002</v>
      </c>
      <c r="Z18" s="1">
        <v>327.82299999999998</v>
      </c>
      <c r="AA18" s="1">
        <v>322.39400000000001</v>
      </c>
      <c r="AB18" s="1">
        <v>303.59100000000001</v>
      </c>
      <c r="AC18" s="1">
        <v>307.77600000000001</v>
      </c>
      <c r="AD18" s="1">
        <v>318.57</v>
      </c>
      <c r="AE18" s="1">
        <v>333.37299999999999</v>
      </c>
      <c r="AF18" s="1">
        <v>330.66500000000002</v>
      </c>
      <c r="AG18" s="1">
        <v>312.08600000000001</v>
      </c>
      <c r="AH18" s="1">
        <v>305.30099999999999</v>
      </c>
      <c r="AI18" s="1">
        <v>307.21800000000002</v>
      </c>
      <c r="AJ18" s="1">
        <v>292.541</v>
      </c>
      <c r="AK18" s="1">
        <v>278.19099999999997</v>
      </c>
      <c r="AL18" s="1">
        <v>279.29399999999998</v>
      </c>
      <c r="AM18" s="1">
        <v>277.21600000000001</v>
      </c>
      <c r="AN18" s="1">
        <v>279.29899999999998</v>
      </c>
      <c r="AO18" s="1">
        <v>281.47199999999998</v>
      </c>
      <c r="AP18" s="1">
        <v>281.13200000000001</v>
      </c>
      <c r="AQ18" s="1">
        <v>281.01400000000001</v>
      </c>
      <c r="AR18" s="1">
        <v>280.39800000000002</v>
      </c>
      <c r="AS18" s="1">
        <v>277.73899999999998</v>
      </c>
      <c r="AT18" s="1">
        <v>277.57600000000002</v>
      </c>
      <c r="AU18" s="1">
        <v>279.78399999999999</v>
      </c>
      <c r="AV18" s="1">
        <v>282.2</v>
      </c>
      <c r="AW18" s="1">
        <v>282.74900000000002</v>
      </c>
      <c r="AX18" s="1">
        <v>279.846</v>
      </c>
      <c r="AY18" s="1">
        <v>277.52600000000001</v>
      </c>
      <c r="AZ18" s="1">
        <v>274.49299999999999</v>
      </c>
      <c r="BA18" s="1">
        <v>268.517</v>
      </c>
      <c r="BB18" s="1">
        <v>265.77600000000001</v>
      </c>
      <c r="BC18" s="1">
        <v>268.90199999999999</v>
      </c>
      <c r="BD18" s="1">
        <v>272.58600000000001</v>
      </c>
      <c r="BE18" s="1">
        <v>281.55399999999997</v>
      </c>
      <c r="BF18" s="1">
        <v>284.41399999999999</v>
      </c>
      <c r="BG18" s="1">
        <v>287.13799999999998</v>
      </c>
      <c r="BH18" s="1">
        <v>291.74900000000002</v>
      </c>
      <c r="BI18" s="1">
        <v>303.57799999999997</v>
      </c>
      <c r="BJ18" s="1">
        <v>307.428</v>
      </c>
      <c r="BK18" s="1">
        <v>307.34899999999999</v>
      </c>
      <c r="BL18" s="1">
        <v>308.03399999999999</v>
      </c>
      <c r="BM18" s="1">
        <v>295.67700000000002</v>
      </c>
      <c r="BN18" s="1">
        <v>292.87299999999999</v>
      </c>
      <c r="BO18" s="1">
        <v>289.46199999999999</v>
      </c>
      <c r="BP18" s="1">
        <v>290.54300000000001</v>
      </c>
      <c r="BQ18" s="1">
        <v>291.74299999999999</v>
      </c>
      <c r="BR18" s="1">
        <v>292.358</v>
      </c>
      <c r="BS18" s="1">
        <v>293.565</v>
      </c>
      <c r="BT18" s="1">
        <v>310.86099999999999</v>
      </c>
      <c r="BU18" s="1">
        <v>332.58199999999999</v>
      </c>
      <c r="BV18" s="1">
        <v>340.45</v>
      </c>
      <c r="BW18" s="1">
        <v>341.971</v>
      </c>
      <c r="BX18" s="1">
        <v>348.24700000000001</v>
      </c>
      <c r="BY18" s="1">
        <v>351.96800000000002</v>
      </c>
      <c r="BZ18" s="1">
        <v>355.63</v>
      </c>
      <c r="CA18" s="1">
        <v>342.73700000000002</v>
      </c>
      <c r="CB18" s="1">
        <v>338.315</v>
      </c>
      <c r="CC18" s="1">
        <v>314.14100000000002</v>
      </c>
      <c r="CD18" s="1">
        <v>314.34899999999999</v>
      </c>
      <c r="CE18" s="1">
        <v>320.267</v>
      </c>
      <c r="CF18" s="1">
        <v>323.32</v>
      </c>
      <c r="CG18" s="1">
        <v>333.06700000000001</v>
      </c>
      <c r="CH18" s="1">
        <v>352.27</v>
      </c>
      <c r="CI18" s="1">
        <v>377.76499999999999</v>
      </c>
      <c r="CJ18" s="1">
        <v>392.82</v>
      </c>
      <c r="CK18" s="1">
        <v>398.25599999999997</v>
      </c>
      <c r="CL18" s="1">
        <v>397.31</v>
      </c>
      <c r="CM18" s="1">
        <v>396.74200000000002</v>
      </c>
      <c r="CN18" s="1">
        <v>411.95400000000001</v>
      </c>
      <c r="CO18" s="1">
        <v>390.22699999999998</v>
      </c>
      <c r="CP18" s="1">
        <v>389.45699999999999</v>
      </c>
      <c r="CQ18" s="1">
        <v>378.221</v>
      </c>
      <c r="CR18" s="1">
        <v>364.58100000000002</v>
      </c>
      <c r="CS18" s="1">
        <v>391.88200000000001</v>
      </c>
      <c r="CT18" s="1">
        <v>391.185</v>
      </c>
      <c r="CU18" s="1">
        <v>395.017</v>
      </c>
      <c r="CV18" s="1">
        <v>360.74700000000001</v>
      </c>
      <c r="CW18" s="1">
        <v>330.887</v>
      </c>
      <c r="CX18" s="1">
        <v>305.40899999999999</v>
      </c>
      <c r="CY18" s="1">
        <v>314.28199999999998</v>
      </c>
      <c r="CZ18" s="1">
        <v>342.90800000000002</v>
      </c>
      <c r="DA18" s="1">
        <v>355.29899999999998</v>
      </c>
      <c r="DB18" s="1">
        <v>377.65199999999999</v>
      </c>
      <c r="DC18" s="1">
        <v>376.05099999999999</v>
      </c>
      <c r="DD18" s="1">
        <v>375.173</v>
      </c>
      <c r="DE18" s="1">
        <v>365.18</v>
      </c>
      <c r="DF18" s="1">
        <v>360.678</v>
      </c>
      <c r="DG18" s="1">
        <v>398.88799999999998</v>
      </c>
      <c r="DH18" s="1">
        <v>440.73</v>
      </c>
      <c r="DI18" s="1">
        <v>440.452</v>
      </c>
      <c r="DJ18" s="1">
        <v>441.81700000000001</v>
      </c>
      <c r="DK18" s="1">
        <v>455.44600000000003</v>
      </c>
      <c r="DL18" s="1">
        <v>469.22300000000001</v>
      </c>
      <c r="DM18" s="1">
        <v>492.23399999999998</v>
      </c>
      <c r="DN18" s="1">
        <v>522.73500000000001</v>
      </c>
      <c r="DO18" s="1">
        <v>530.34400000000005</v>
      </c>
      <c r="DP18" s="1">
        <v>508.49400000000003</v>
      </c>
      <c r="DQ18" s="1">
        <v>476.90199999999999</v>
      </c>
      <c r="DR18" s="1">
        <v>456.44799999999998</v>
      </c>
      <c r="DS18" s="1">
        <v>452.42899999999997</v>
      </c>
      <c r="DT18" s="1">
        <v>457.89600000000002</v>
      </c>
      <c r="DU18" s="1">
        <v>461.399</v>
      </c>
      <c r="DV18" s="1">
        <v>469.66699999999997</v>
      </c>
      <c r="DW18" s="1">
        <v>472.11700000000002</v>
      </c>
      <c r="DX18" s="1">
        <v>449.80799999999999</v>
      </c>
      <c r="DY18" s="1">
        <v>429.577</v>
      </c>
      <c r="DZ18" s="1">
        <v>409.762</v>
      </c>
      <c r="EA18" s="1">
        <v>391.95499999999998</v>
      </c>
      <c r="EB18" s="1">
        <v>372.97199999999998</v>
      </c>
      <c r="EC18" s="1">
        <v>388.39299999999997</v>
      </c>
      <c r="ED18" s="1">
        <v>396.762</v>
      </c>
      <c r="EE18" s="1">
        <v>407.71899999999999</v>
      </c>
      <c r="EF18" s="1">
        <v>409.17099999999999</v>
      </c>
      <c r="EG18" s="1">
        <v>396.90300000000002</v>
      </c>
      <c r="EH18" s="1">
        <v>379.327</v>
      </c>
      <c r="EI18" s="1">
        <v>380.11500000000001</v>
      </c>
      <c r="EJ18" s="1">
        <v>345.83600000000001</v>
      </c>
      <c r="EK18" s="1">
        <v>340.685</v>
      </c>
      <c r="EL18" s="1">
        <v>370.97500000000002</v>
      </c>
      <c r="EM18" s="1">
        <v>396.03800000000001</v>
      </c>
      <c r="EN18" s="1">
        <v>415.61799999999999</v>
      </c>
      <c r="EO18" s="1">
        <v>454.971</v>
      </c>
      <c r="EP18" s="1">
        <v>461.07400000000001</v>
      </c>
      <c r="EQ18" s="1">
        <v>462.209</v>
      </c>
      <c r="ER18" s="1">
        <v>468.94200000000001</v>
      </c>
      <c r="ES18" s="1">
        <v>484.642</v>
      </c>
      <c r="ET18" s="1">
        <v>505.40199999999999</v>
      </c>
      <c r="EU18" s="1">
        <v>515.45399999999995</v>
      </c>
      <c r="EV18" s="1">
        <v>541.97500000000002</v>
      </c>
      <c r="EW18" s="1">
        <v>572.80100000000004</v>
      </c>
      <c r="EX18" s="1">
        <v>663.13199999999995</v>
      </c>
      <c r="EY18" s="1">
        <v>681.45899999999995</v>
      </c>
      <c r="EZ18" s="1">
        <v>639.92200000000003</v>
      </c>
      <c r="FA18" s="1">
        <v>685.59500000000003</v>
      </c>
      <c r="FB18" s="1">
        <v>681.63499999999999</v>
      </c>
      <c r="FC18" s="1">
        <v>554.74099999999999</v>
      </c>
      <c r="FD18" s="1">
        <v>495.988</v>
      </c>
      <c r="FE18" s="1">
        <v>403.98700000000002</v>
      </c>
      <c r="FF18" s="1">
        <v>395.16199999999998</v>
      </c>
      <c r="FG18" s="1">
        <v>329.31900000000002</v>
      </c>
      <c r="FH18" s="1">
        <v>325.11500000000001</v>
      </c>
      <c r="FI18" s="1">
        <v>337.90600000000001</v>
      </c>
      <c r="FJ18" s="1">
        <v>270.72699999999998</v>
      </c>
      <c r="FK18" s="1">
        <v>237.54300000000001</v>
      </c>
      <c r="FL18" s="1">
        <v>225.60400000000001</v>
      </c>
      <c r="FM18" s="1">
        <v>236.422</v>
      </c>
      <c r="FN18" s="1">
        <v>252.119</v>
      </c>
      <c r="FO18" s="1">
        <v>250.69300000000001</v>
      </c>
      <c r="FP18" s="1">
        <v>222.84800000000001</v>
      </c>
      <c r="FQ18" s="1">
        <v>197.77199999999999</v>
      </c>
      <c r="FR18" s="1">
        <v>187.49799999999999</v>
      </c>
      <c r="FS18" s="1">
        <v>178.136</v>
      </c>
      <c r="FT18" s="1">
        <v>161.21899999999999</v>
      </c>
      <c r="FU18" s="1">
        <v>162.59200000000001</v>
      </c>
      <c r="FV18" s="1">
        <v>165.1</v>
      </c>
      <c r="FW18" s="1">
        <v>168.05</v>
      </c>
      <c r="FX18" s="1">
        <v>167.55199999999999</v>
      </c>
      <c r="FY18" s="1">
        <v>171.898</v>
      </c>
      <c r="FZ18" s="1">
        <v>177.935</v>
      </c>
      <c r="GA18" s="1">
        <v>177.399</v>
      </c>
      <c r="GB18" s="1">
        <v>179.15</v>
      </c>
      <c r="GC18" s="1">
        <v>179.85400000000001</v>
      </c>
      <c r="GD18" s="1">
        <v>178.28299999999999</v>
      </c>
      <c r="GE18" s="1">
        <v>176.977</v>
      </c>
      <c r="GF18" s="1">
        <v>181.52500000000001</v>
      </c>
      <c r="GG18" s="1">
        <v>186.21799999999999</v>
      </c>
      <c r="GH18" s="1">
        <v>201.75399999999999</v>
      </c>
      <c r="GI18" s="1">
        <v>202.68700000000001</v>
      </c>
      <c r="GJ18" s="1">
        <v>202.92500000000001</v>
      </c>
      <c r="GK18" s="1">
        <v>198.273</v>
      </c>
      <c r="GL18" s="1">
        <v>203.363</v>
      </c>
      <c r="GM18" s="1">
        <v>208.25299999999999</v>
      </c>
      <c r="GN18" s="1">
        <v>192.82900000000001</v>
      </c>
      <c r="GO18" s="1">
        <v>187.81399999999999</v>
      </c>
      <c r="GP18" s="1">
        <v>183.49299999999999</v>
      </c>
      <c r="GQ18" s="1">
        <v>183.708</v>
      </c>
      <c r="GR18" s="1">
        <v>182.55500000000001</v>
      </c>
      <c r="GS18" s="1">
        <v>186.143</v>
      </c>
      <c r="GT18" s="1">
        <v>200.91800000000001</v>
      </c>
      <c r="GU18" s="1">
        <v>208.13300000000001</v>
      </c>
      <c r="GV18" s="1">
        <v>207.03700000000001</v>
      </c>
      <c r="GW18" s="1">
        <v>207.291</v>
      </c>
      <c r="GX18" s="1">
        <v>209.52699999999999</v>
      </c>
      <c r="GY18" s="1">
        <v>208.84700000000001</v>
      </c>
      <c r="GZ18" s="1">
        <v>214.80600000000001</v>
      </c>
      <c r="HA18" s="1">
        <v>214.077</v>
      </c>
      <c r="HB18" s="1">
        <v>207.874</v>
      </c>
      <c r="HC18" s="1">
        <v>201.321</v>
      </c>
      <c r="HD18" s="1">
        <v>196.768</v>
      </c>
      <c r="HE18" s="1">
        <v>196.363</v>
      </c>
      <c r="HF18" s="1">
        <v>193.31800000000001</v>
      </c>
      <c r="HG18" s="1">
        <v>196.15600000000001</v>
      </c>
      <c r="HH18" s="1">
        <v>201.02199999999999</v>
      </c>
      <c r="HI18" s="1">
        <v>198.69300000000001</v>
      </c>
      <c r="HJ18" s="1">
        <v>202.39699999999999</v>
      </c>
      <c r="HK18" s="1">
        <v>201.114</v>
      </c>
      <c r="HL18" s="1">
        <v>202.34899999999999</v>
      </c>
      <c r="HM18" s="1">
        <v>205.58699999999999</v>
      </c>
      <c r="HN18" s="1">
        <v>204.715</v>
      </c>
      <c r="HO18" s="1">
        <v>204.828</v>
      </c>
      <c r="HP18" s="1">
        <v>208.27099999999999</v>
      </c>
      <c r="HQ18" s="1">
        <v>211.35499999999999</v>
      </c>
      <c r="HR18" s="1">
        <v>209.34299999999999</v>
      </c>
      <c r="HS18" s="1">
        <v>210.02699999999999</v>
      </c>
      <c r="HT18" s="1">
        <v>213.82400000000001</v>
      </c>
      <c r="HU18" s="1">
        <v>219.167</v>
      </c>
      <c r="HV18" s="1">
        <v>224.59800000000001</v>
      </c>
      <c r="HW18" s="1">
        <v>226.66800000000001</v>
      </c>
      <c r="HX18" s="1">
        <v>218.26</v>
      </c>
      <c r="HY18" s="1">
        <v>223.572</v>
      </c>
      <c r="HZ18" s="1">
        <v>226.98500000000001</v>
      </c>
      <c r="IA18" s="1">
        <v>225.19499999999999</v>
      </c>
      <c r="IB18" s="1">
        <v>220.21700000000001</v>
      </c>
      <c r="IC18" s="1">
        <v>237.703</v>
      </c>
      <c r="ID18" s="1">
        <v>248.08099999999999</v>
      </c>
      <c r="IE18" s="1">
        <v>247.792</v>
      </c>
      <c r="IF18" s="1">
        <v>248.26900000000001</v>
      </c>
      <c r="IG18" s="1">
        <v>245.64699999999999</v>
      </c>
      <c r="IH18" s="1">
        <v>243.922</v>
      </c>
      <c r="II18" s="1">
        <v>243.489</v>
      </c>
      <c r="IJ18" s="1">
        <v>240.93199999999999</v>
      </c>
      <c r="IK18" s="1">
        <v>237.05</v>
      </c>
      <c r="IL18" s="1">
        <v>231.40199999999999</v>
      </c>
      <c r="IM18" s="1">
        <v>231.43199999999999</v>
      </c>
      <c r="IN18" s="1">
        <v>226.73</v>
      </c>
      <c r="IO18" s="1">
        <v>221.673</v>
      </c>
      <c r="IP18" s="1">
        <v>224.52199999999999</v>
      </c>
      <c r="IQ18" s="1">
        <v>222.69900000000001</v>
      </c>
      <c r="IR18" s="1">
        <v>229.542</v>
      </c>
      <c r="IS18" s="1">
        <v>235.22300000000001</v>
      </c>
      <c r="IT18" s="1">
        <v>237.78</v>
      </c>
      <c r="IU18" s="1">
        <v>233.66499999999999</v>
      </c>
      <c r="IV18" s="1">
        <v>230.197</v>
      </c>
      <c r="IW18" s="1">
        <v>223.99199999999999</v>
      </c>
      <c r="IX18" s="1">
        <v>227.05699999999999</v>
      </c>
      <c r="IY18" s="1">
        <v>231.624</v>
      </c>
      <c r="IZ18" s="1">
        <v>233.65700000000001</v>
      </c>
      <c r="JA18" s="1">
        <v>238.566</v>
      </c>
      <c r="JB18" s="1">
        <v>241.499</v>
      </c>
      <c r="JC18" s="1"/>
      <c r="JD18" t="s">
        <v>45</v>
      </c>
    </row>
    <row r="19" spans="1:264" x14ac:dyDescent="0.25">
      <c r="A19" s="4" t="s">
        <v>16</v>
      </c>
      <c r="B19" t="s">
        <v>34</v>
      </c>
      <c r="C19" t="s">
        <v>37</v>
      </c>
      <c r="D19" t="s">
        <v>43</v>
      </c>
      <c r="F19" t="s">
        <v>39</v>
      </c>
      <c r="G19" s="3">
        <f ca="1">_xll.BDH(A19&amp;" corp",D19,TODAY()-365,TODAY(),"pcs="&amp;B19,"dir=h","dates=h","sort=r","fill=-","cols=87;rows=1")</f>
        <v>313.98200000000003</v>
      </c>
      <c r="H19" s="1">
        <v>315.96800000000002</v>
      </c>
      <c r="I19" s="1">
        <v>319.178</v>
      </c>
      <c r="J19" s="1">
        <v>317.04300000000001</v>
      </c>
      <c r="K19" s="1">
        <v>314.55500000000001</v>
      </c>
      <c r="L19" s="1">
        <v>311.27</v>
      </c>
      <c r="M19" s="1">
        <v>311.07499999999999</v>
      </c>
      <c r="N19" s="1">
        <v>308.67599999999999</v>
      </c>
      <c r="O19" s="1">
        <v>308.67599999999999</v>
      </c>
      <c r="P19" s="1">
        <v>314.34399999999999</v>
      </c>
      <c r="Q19" s="1">
        <v>315.81299999999999</v>
      </c>
      <c r="R19" s="1">
        <v>326.62200000000001</v>
      </c>
      <c r="S19" s="1">
        <v>324.63</v>
      </c>
      <c r="T19" s="1">
        <v>326.57900000000001</v>
      </c>
      <c r="U19" s="1">
        <v>332.93099999999998</v>
      </c>
      <c r="V19" s="1">
        <v>335.38900000000001</v>
      </c>
      <c r="W19" s="1">
        <v>343.28899999999999</v>
      </c>
      <c r="X19" s="1">
        <v>340.35700000000003</v>
      </c>
      <c r="Y19" s="1">
        <v>324.02100000000002</v>
      </c>
      <c r="Z19" s="1">
        <v>320.2</v>
      </c>
      <c r="AA19" s="1">
        <v>320.50700000000001</v>
      </c>
      <c r="AB19" s="1">
        <v>311.03500000000003</v>
      </c>
      <c r="AC19" s="1">
        <v>311.93599999999998</v>
      </c>
      <c r="AD19" s="1">
        <v>311.21600000000001</v>
      </c>
      <c r="AE19" s="1">
        <v>314.35500000000002</v>
      </c>
      <c r="AF19" s="1">
        <v>314.82299999999998</v>
      </c>
      <c r="AG19" s="1">
        <v>313.86</v>
      </c>
      <c r="AH19" s="1">
        <v>314.12799999999999</v>
      </c>
      <c r="AI19" s="1">
        <v>311.46800000000002</v>
      </c>
      <c r="AJ19" s="1">
        <v>310.54199999999997</v>
      </c>
      <c r="AK19" s="1">
        <v>303.57900000000001</v>
      </c>
      <c r="AL19" s="1">
        <v>302.69900000000001</v>
      </c>
      <c r="AM19" s="1">
        <v>309.13400000000001</v>
      </c>
      <c r="AN19" s="1">
        <v>308.00700000000001</v>
      </c>
      <c r="AO19" s="1">
        <v>307.613</v>
      </c>
      <c r="AP19" s="1">
        <v>303.83</v>
      </c>
      <c r="AQ19" s="1">
        <v>303.89600000000002</v>
      </c>
      <c r="AR19" s="1">
        <v>300.21499999999997</v>
      </c>
      <c r="AS19" s="1">
        <v>305.92399999999998</v>
      </c>
      <c r="AT19" s="1">
        <v>309.63</v>
      </c>
      <c r="AU19" s="1">
        <v>315.55900000000003</v>
      </c>
      <c r="AV19" s="1">
        <v>317.54700000000003</v>
      </c>
      <c r="AW19" s="1">
        <v>317.06</v>
      </c>
      <c r="AX19" s="1">
        <v>314.267</v>
      </c>
      <c r="AY19" s="1">
        <v>315.97199999999998</v>
      </c>
      <c r="AZ19" s="1">
        <v>315.83999999999997</v>
      </c>
      <c r="BA19" s="1">
        <v>313.03300000000002</v>
      </c>
      <c r="BB19" s="1">
        <v>306.92599999999999</v>
      </c>
      <c r="BC19" s="1">
        <v>310.37400000000002</v>
      </c>
      <c r="BD19" s="1">
        <v>311.82900000000001</v>
      </c>
      <c r="BE19" s="1">
        <v>318.839</v>
      </c>
      <c r="BF19" s="1">
        <v>324.46699999999998</v>
      </c>
      <c r="BG19" s="1">
        <v>332.63</v>
      </c>
      <c r="BH19" s="1">
        <v>333.26100000000002</v>
      </c>
      <c r="BI19" s="1">
        <v>341.79500000000002</v>
      </c>
      <c r="BJ19" s="1">
        <v>340.93799999999999</v>
      </c>
      <c r="BK19" s="1">
        <v>342.67599999999999</v>
      </c>
      <c r="BL19" s="1">
        <v>342.10300000000001</v>
      </c>
      <c r="BM19" s="1">
        <v>337.44</v>
      </c>
      <c r="BN19" s="1">
        <v>337.74</v>
      </c>
      <c r="BO19" s="1">
        <v>334.69799999999998</v>
      </c>
      <c r="BP19" s="1">
        <v>339.291</v>
      </c>
      <c r="BQ19" s="1">
        <v>340.488</v>
      </c>
      <c r="BR19" s="1">
        <v>339.07799999999997</v>
      </c>
      <c r="BS19" s="1">
        <v>340.56</v>
      </c>
      <c r="BT19" s="1">
        <v>351.16</v>
      </c>
      <c r="BU19" s="1">
        <v>352.755</v>
      </c>
      <c r="BV19" s="1">
        <v>359.14100000000002</v>
      </c>
      <c r="BW19" s="1">
        <v>360.14800000000002</v>
      </c>
      <c r="BX19" s="1">
        <v>364.55799999999999</v>
      </c>
      <c r="BY19" s="1">
        <v>370.93799999999999</v>
      </c>
      <c r="BZ19" s="1">
        <v>369.92099999999999</v>
      </c>
      <c r="CA19" s="1">
        <v>373.363</v>
      </c>
      <c r="CB19" s="1">
        <v>368.21199999999999</v>
      </c>
      <c r="CC19" s="1">
        <v>365.875</v>
      </c>
      <c r="CD19" s="1">
        <v>361.65100000000001</v>
      </c>
      <c r="CE19" s="1">
        <v>363.637</v>
      </c>
      <c r="CF19" s="1">
        <v>362.43</v>
      </c>
      <c r="CG19" s="1">
        <v>370.863</v>
      </c>
      <c r="CH19" s="1">
        <v>379.07400000000001</v>
      </c>
      <c r="CI19" s="1">
        <v>384.17899999999997</v>
      </c>
      <c r="CJ19" s="1">
        <v>388.89400000000001</v>
      </c>
      <c r="CK19" s="1">
        <v>382.31599999999997</v>
      </c>
      <c r="CL19" s="1">
        <v>384.96699999999998</v>
      </c>
      <c r="CM19" s="1">
        <v>371.55399999999997</v>
      </c>
      <c r="CN19" s="1">
        <v>379.32799999999997</v>
      </c>
      <c r="CO19" s="1">
        <v>378.43700000000001</v>
      </c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t="s">
        <v>45</v>
      </c>
    </row>
    <row r="20" spans="1:264" x14ac:dyDescent="0.25">
      <c r="A20" s="4" t="s">
        <v>17</v>
      </c>
      <c r="B20" t="s">
        <v>34</v>
      </c>
      <c r="C20" t="s">
        <v>37</v>
      </c>
      <c r="D20" t="s">
        <v>43</v>
      </c>
      <c r="F20" t="s">
        <v>39</v>
      </c>
      <c r="G20" s="3">
        <f ca="1">_xll.BDH(A20&amp;" corp",D20,TODAY()-365,TODAY(),"pcs="&amp;B20,"dir=h","dates=h","sort=r","fill=-","cols=256;rows=1")</f>
        <v>311.29599999999999</v>
      </c>
      <c r="H20" s="1">
        <v>314.34500000000003</v>
      </c>
      <c r="I20" s="1">
        <v>314.83199999999999</v>
      </c>
      <c r="J20" s="1">
        <v>308.59699999999998</v>
      </c>
      <c r="K20" s="1">
        <v>306.053</v>
      </c>
      <c r="L20" s="1">
        <v>304.791</v>
      </c>
      <c r="M20" s="1">
        <v>304.26499999999999</v>
      </c>
      <c r="N20" s="1">
        <v>301.34199999999998</v>
      </c>
      <c r="O20" s="1">
        <v>294.702</v>
      </c>
      <c r="P20" s="1">
        <v>294.34800000000001</v>
      </c>
      <c r="Q20" s="1">
        <v>297.86099999999999</v>
      </c>
      <c r="R20" s="1">
        <v>303.99099999999999</v>
      </c>
      <c r="S20" s="1">
        <v>303.15800000000002</v>
      </c>
      <c r="T20" s="1">
        <v>309.63400000000001</v>
      </c>
      <c r="U20" s="1">
        <v>317.512</v>
      </c>
      <c r="V20" s="1">
        <v>319.541</v>
      </c>
      <c r="W20" s="1">
        <v>322.36799999999999</v>
      </c>
      <c r="X20" s="1">
        <v>315.61900000000003</v>
      </c>
      <c r="Y20" s="1">
        <v>308.971</v>
      </c>
      <c r="Z20" s="1">
        <v>309.72699999999998</v>
      </c>
      <c r="AA20" s="1">
        <v>308.37</v>
      </c>
      <c r="AB20" s="1">
        <v>300.29599999999999</v>
      </c>
      <c r="AC20" s="1">
        <v>299.7</v>
      </c>
      <c r="AD20" s="1">
        <v>298.81200000000001</v>
      </c>
      <c r="AE20" s="1">
        <v>298.13600000000002</v>
      </c>
      <c r="AF20" s="1">
        <v>298.38</v>
      </c>
      <c r="AG20" s="1">
        <v>294.392</v>
      </c>
      <c r="AH20" s="1">
        <v>288.35500000000002</v>
      </c>
      <c r="AI20" s="1">
        <v>291.42399999999998</v>
      </c>
      <c r="AJ20" s="1">
        <v>291.51499999999999</v>
      </c>
      <c r="AK20" s="1">
        <v>284.91199999999998</v>
      </c>
      <c r="AL20" s="1">
        <v>284.303</v>
      </c>
      <c r="AM20" s="1">
        <v>283.84899999999999</v>
      </c>
      <c r="AN20" s="1">
        <v>282.96600000000001</v>
      </c>
      <c r="AO20" s="1">
        <v>279.774</v>
      </c>
      <c r="AP20" s="1">
        <v>275.76900000000001</v>
      </c>
      <c r="AQ20" s="1">
        <v>277.97800000000001</v>
      </c>
      <c r="AR20" s="1">
        <v>276.82100000000003</v>
      </c>
      <c r="AS20" s="1">
        <v>276.44900000000001</v>
      </c>
      <c r="AT20" s="1">
        <v>276.25099999999998</v>
      </c>
      <c r="AU20" s="1">
        <v>284.06099999999998</v>
      </c>
      <c r="AV20" s="1">
        <v>283.07499999999999</v>
      </c>
      <c r="AW20" s="1">
        <v>282.80700000000002</v>
      </c>
      <c r="AX20" s="1">
        <v>279.92</v>
      </c>
      <c r="AY20" s="1">
        <v>279.10199999999998</v>
      </c>
      <c r="AZ20" s="1">
        <v>277.94799999999998</v>
      </c>
      <c r="BA20" s="1">
        <v>271.91300000000001</v>
      </c>
      <c r="BB20" s="1">
        <v>269.25400000000002</v>
      </c>
      <c r="BC20" s="1">
        <v>273.18299999999999</v>
      </c>
      <c r="BD20" s="1">
        <v>275.99299999999999</v>
      </c>
      <c r="BE20" s="1">
        <v>286.55599999999998</v>
      </c>
      <c r="BF20" s="1">
        <v>289.459</v>
      </c>
      <c r="BG20" s="1">
        <v>294.16500000000002</v>
      </c>
      <c r="BH20" s="1">
        <v>294.32499999999999</v>
      </c>
      <c r="BI20" s="1">
        <v>302.202</v>
      </c>
      <c r="BJ20" s="1">
        <v>301.78699999999998</v>
      </c>
      <c r="BK20" s="1">
        <v>299.31700000000001</v>
      </c>
      <c r="BL20" s="1">
        <v>299.267</v>
      </c>
      <c r="BM20" s="1">
        <v>293.22699999999998</v>
      </c>
      <c r="BN20" s="1">
        <v>291.60500000000002</v>
      </c>
      <c r="BO20" s="1">
        <v>289.53899999999999</v>
      </c>
      <c r="BP20" s="1">
        <v>286.11900000000003</v>
      </c>
      <c r="BQ20" s="1">
        <v>287.53899999999999</v>
      </c>
      <c r="BR20" s="1">
        <v>290.59800000000001</v>
      </c>
      <c r="BS20" s="1">
        <v>288.233</v>
      </c>
      <c r="BT20" s="1">
        <v>299.41199999999998</v>
      </c>
      <c r="BU20" s="1">
        <v>304.303</v>
      </c>
      <c r="BV20" s="1">
        <v>307.36200000000002</v>
      </c>
      <c r="BW20" s="1">
        <v>307.81099999999998</v>
      </c>
      <c r="BX20" s="1">
        <v>311.286</v>
      </c>
      <c r="BY20" s="1">
        <v>309.64499999999998</v>
      </c>
      <c r="BZ20" s="1">
        <v>316.09899999999999</v>
      </c>
      <c r="CA20" s="1">
        <v>314.12700000000001</v>
      </c>
      <c r="CB20" s="1">
        <v>310.71600000000001</v>
      </c>
      <c r="CC20" s="1">
        <v>308.07499999999999</v>
      </c>
      <c r="CD20" s="1">
        <v>308.23399999999998</v>
      </c>
      <c r="CE20" s="1">
        <v>312.29599999999999</v>
      </c>
      <c r="CF20" s="1">
        <v>314.48599999999999</v>
      </c>
      <c r="CG20" s="1">
        <v>317.815</v>
      </c>
      <c r="CH20" s="1">
        <v>322.04000000000002</v>
      </c>
      <c r="CI20" s="1">
        <v>322.96899999999999</v>
      </c>
      <c r="CJ20" s="1">
        <v>323.01100000000002</v>
      </c>
      <c r="CK20" s="1">
        <v>322.17899999999997</v>
      </c>
      <c r="CL20" s="1">
        <v>320.78199999999998</v>
      </c>
      <c r="CM20" s="1">
        <v>316.87200000000001</v>
      </c>
      <c r="CN20" s="1">
        <v>321.38799999999998</v>
      </c>
      <c r="CO20" s="1">
        <v>315.04599999999999</v>
      </c>
      <c r="CP20" s="1">
        <v>315.17599999999999</v>
      </c>
      <c r="CQ20" s="1">
        <v>307.78300000000002</v>
      </c>
      <c r="CR20" s="1">
        <v>304.40699999999998</v>
      </c>
      <c r="CS20" s="1">
        <v>317.49299999999999</v>
      </c>
      <c r="CT20" s="1">
        <v>310.68099999999998</v>
      </c>
      <c r="CU20" s="1">
        <v>313.334</v>
      </c>
      <c r="CV20" s="1">
        <v>295.36700000000002</v>
      </c>
      <c r="CW20" s="1">
        <v>282.41399999999999</v>
      </c>
      <c r="CX20" s="1">
        <v>272.59199999999998</v>
      </c>
      <c r="CY20" s="1">
        <v>274.58600000000001</v>
      </c>
      <c r="CZ20" s="1">
        <v>299.11700000000002</v>
      </c>
      <c r="DA20" s="1">
        <v>314.351</v>
      </c>
      <c r="DB20" s="1">
        <v>328.39600000000002</v>
      </c>
      <c r="DC20" s="1">
        <v>330.553</v>
      </c>
      <c r="DD20" s="1">
        <v>336.279</v>
      </c>
      <c r="DE20" s="1">
        <v>334.35599999999999</v>
      </c>
      <c r="DF20" s="1">
        <v>338.42099999999999</v>
      </c>
      <c r="DG20" s="1">
        <v>344.93900000000002</v>
      </c>
      <c r="DH20" s="1">
        <v>350.428</v>
      </c>
      <c r="DI20" s="1">
        <v>361.488</v>
      </c>
      <c r="DJ20" s="1">
        <v>363.18599999999998</v>
      </c>
      <c r="DK20" s="1">
        <v>368.47500000000002</v>
      </c>
      <c r="DL20" s="1">
        <v>376.25</v>
      </c>
      <c r="DM20" s="1">
        <v>387.72399999999999</v>
      </c>
      <c r="DN20" s="1">
        <v>398.65499999999997</v>
      </c>
      <c r="DO20" s="1">
        <v>403.43299999999999</v>
      </c>
      <c r="DP20" s="1">
        <v>400.2</v>
      </c>
      <c r="DQ20" s="1">
        <v>399.70100000000002</v>
      </c>
      <c r="DR20" s="1">
        <v>399.05</v>
      </c>
      <c r="DS20" s="1">
        <v>397.37099999999998</v>
      </c>
      <c r="DT20" s="1">
        <v>403.38799999999998</v>
      </c>
      <c r="DU20" s="1">
        <v>402.83499999999998</v>
      </c>
      <c r="DV20" s="1">
        <v>411.08300000000003</v>
      </c>
      <c r="DW20" s="1">
        <v>413.36200000000002</v>
      </c>
      <c r="DX20" s="1">
        <v>408.37799999999999</v>
      </c>
      <c r="DY20" s="1">
        <v>403.71600000000001</v>
      </c>
      <c r="DZ20" s="1">
        <v>396.459</v>
      </c>
      <c r="EA20" s="1">
        <v>393.59800000000001</v>
      </c>
      <c r="EB20" s="1">
        <v>391.93299999999999</v>
      </c>
      <c r="EC20" s="1">
        <v>403.02300000000002</v>
      </c>
      <c r="ED20" s="1">
        <v>403.21199999999999</v>
      </c>
      <c r="EE20" s="1">
        <v>407.55099999999999</v>
      </c>
      <c r="EF20" s="1">
        <v>412.89699999999999</v>
      </c>
      <c r="EG20" s="1">
        <v>404.14100000000002</v>
      </c>
      <c r="EH20" s="1">
        <v>406.988</v>
      </c>
      <c r="EI20" s="1">
        <v>411.03199999999998</v>
      </c>
      <c r="EJ20" s="1">
        <v>397.97</v>
      </c>
      <c r="EK20" s="1">
        <v>396.30700000000002</v>
      </c>
      <c r="EL20" s="1">
        <v>416.113</v>
      </c>
      <c r="EM20" s="1">
        <v>434.64800000000002</v>
      </c>
      <c r="EN20" s="1">
        <v>447.27300000000002</v>
      </c>
      <c r="EO20" s="1">
        <v>467.58600000000001</v>
      </c>
      <c r="EP20" s="1">
        <v>473.76100000000002</v>
      </c>
      <c r="EQ20" s="1">
        <v>471.98500000000001</v>
      </c>
      <c r="ER20" s="1">
        <v>472.44299999999998</v>
      </c>
      <c r="ES20" s="1">
        <v>473.50299999999999</v>
      </c>
      <c r="ET20" s="1">
        <v>485.61799999999999</v>
      </c>
      <c r="EU20" s="1">
        <v>485.80700000000002</v>
      </c>
      <c r="EV20" s="1">
        <v>486.60500000000002</v>
      </c>
      <c r="EW20" s="1">
        <v>490.22500000000002</v>
      </c>
      <c r="EX20" s="1">
        <v>521.43899999999996</v>
      </c>
      <c r="EY20" s="1">
        <v>526.88099999999997</v>
      </c>
      <c r="EZ20" s="1">
        <v>507.15800000000002</v>
      </c>
      <c r="FA20" s="1">
        <v>506.09800000000001</v>
      </c>
      <c r="FB20" s="1">
        <v>507.53699999999998</v>
      </c>
      <c r="FC20" s="1">
        <v>466.81900000000002</v>
      </c>
      <c r="FD20" s="1">
        <v>430.35399999999998</v>
      </c>
      <c r="FE20" s="1">
        <v>371.87900000000002</v>
      </c>
      <c r="FF20" s="1">
        <v>363.83100000000002</v>
      </c>
      <c r="FG20" s="1">
        <v>329.69900000000001</v>
      </c>
      <c r="FH20" s="1">
        <v>326.73099999999999</v>
      </c>
      <c r="FI20" s="1">
        <v>333.65600000000001</v>
      </c>
      <c r="FJ20" s="1">
        <v>293.57799999999997</v>
      </c>
      <c r="FK20" s="1">
        <v>277.59800000000001</v>
      </c>
      <c r="FL20" s="1">
        <v>269.577</v>
      </c>
      <c r="FM20" s="1">
        <v>273.76100000000002</v>
      </c>
      <c r="FN20" s="1">
        <v>288.2</v>
      </c>
      <c r="FO20" s="1">
        <v>287.53100000000001</v>
      </c>
      <c r="FP20" s="1">
        <v>264.298</v>
      </c>
      <c r="FQ20" s="1">
        <v>246.11</v>
      </c>
      <c r="FR20" s="1">
        <v>245.31299999999999</v>
      </c>
      <c r="FS20" s="1">
        <v>239.709</v>
      </c>
      <c r="FT20" s="1">
        <v>227.94200000000001</v>
      </c>
      <c r="FU20" s="1">
        <v>231.595</v>
      </c>
      <c r="FV20" s="1">
        <v>231.33199999999999</v>
      </c>
      <c r="FW20" s="1">
        <v>232.78800000000001</v>
      </c>
      <c r="FX20" s="1">
        <v>231.87700000000001</v>
      </c>
      <c r="FY20" s="1">
        <v>233.881</v>
      </c>
      <c r="FZ20" s="1">
        <v>250.518</v>
      </c>
      <c r="GA20" s="1">
        <v>234.137</v>
      </c>
      <c r="GB20" s="1">
        <v>237.85400000000001</v>
      </c>
      <c r="GC20" s="1">
        <v>243.929</v>
      </c>
      <c r="GD20" s="1">
        <v>240.286</v>
      </c>
      <c r="GE20" s="1">
        <v>237.80799999999999</v>
      </c>
      <c r="GF20" s="1">
        <v>240.91499999999999</v>
      </c>
      <c r="GG20" s="1">
        <v>247.964</v>
      </c>
      <c r="GH20" s="1">
        <v>257.202</v>
      </c>
      <c r="GI20" s="1">
        <v>257.12599999999998</v>
      </c>
      <c r="GJ20" s="1">
        <v>254.315</v>
      </c>
      <c r="GK20" s="1">
        <v>251.077</v>
      </c>
      <c r="GL20" s="1">
        <v>252.96</v>
      </c>
      <c r="GM20" s="1">
        <v>258.95999999999998</v>
      </c>
      <c r="GN20" s="1">
        <v>250.399</v>
      </c>
      <c r="GO20" s="1">
        <v>246.67500000000001</v>
      </c>
      <c r="GP20" s="1">
        <v>240.572</v>
      </c>
      <c r="GQ20" s="1">
        <v>239.14699999999999</v>
      </c>
      <c r="GR20" s="1">
        <v>235.57300000000001</v>
      </c>
      <c r="GS20" s="1">
        <v>236.63300000000001</v>
      </c>
      <c r="GT20" s="1">
        <v>240.10400000000001</v>
      </c>
      <c r="GU20" s="1">
        <v>241.6</v>
      </c>
      <c r="GV20" s="1">
        <v>240.583</v>
      </c>
      <c r="GW20" s="1">
        <v>240.35300000000001</v>
      </c>
      <c r="GX20" s="1">
        <v>243.79300000000001</v>
      </c>
      <c r="GY20" s="1">
        <v>243.37</v>
      </c>
      <c r="GZ20" s="1">
        <v>248.20400000000001</v>
      </c>
      <c r="HA20" s="1">
        <v>249.26599999999999</v>
      </c>
      <c r="HB20" s="1">
        <v>247.00700000000001</v>
      </c>
      <c r="HC20" s="1">
        <v>243.798</v>
      </c>
      <c r="HD20" s="1">
        <v>239.1</v>
      </c>
      <c r="HE20" s="1">
        <v>234.46600000000001</v>
      </c>
      <c r="HF20" s="1">
        <v>234.65</v>
      </c>
      <c r="HG20" s="1">
        <v>239.59200000000001</v>
      </c>
      <c r="HH20" s="1">
        <v>239.37299999999999</v>
      </c>
      <c r="HI20" s="1">
        <v>238.012</v>
      </c>
      <c r="HJ20" s="1">
        <v>240.81100000000001</v>
      </c>
      <c r="HK20" s="1">
        <v>241.06200000000001</v>
      </c>
      <c r="HL20" s="1">
        <v>242.06200000000001</v>
      </c>
      <c r="HM20" s="1">
        <v>246.57</v>
      </c>
      <c r="HN20" s="1">
        <v>246.94300000000001</v>
      </c>
      <c r="HO20" s="1">
        <v>249.16</v>
      </c>
      <c r="HP20" s="1">
        <v>252.41200000000001</v>
      </c>
      <c r="HQ20" s="1">
        <v>255.714</v>
      </c>
      <c r="HR20" s="1">
        <v>254.11199999999999</v>
      </c>
      <c r="HS20" s="1">
        <v>255.99299999999999</v>
      </c>
      <c r="HT20" s="1">
        <v>258.04199999999997</v>
      </c>
      <c r="HU20" s="1">
        <v>262.20499999999998</v>
      </c>
      <c r="HV20" s="1">
        <v>267.33600000000001</v>
      </c>
      <c r="HW20" s="1">
        <v>270.56</v>
      </c>
      <c r="HX20" s="1">
        <v>260.69200000000001</v>
      </c>
      <c r="HY20" s="1">
        <v>265.572</v>
      </c>
      <c r="HZ20" s="1">
        <v>266.95699999999999</v>
      </c>
      <c r="IA20" s="1">
        <v>266.83300000000003</v>
      </c>
      <c r="IB20" s="1">
        <v>266.392</v>
      </c>
      <c r="IC20" s="1">
        <v>270.553</v>
      </c>
      <c r="ID20" s="1">
        <v>277.04500000000002</v>
      </c>
      <c r="IE20" s="1">
        <v>275.89100000000002</v>
      </c>
      <c r="IF20" s="1">
        <v>276.84699999999998</v>
      </c>
      <c r="IG20" s="1">
        <v>274.08800000000002</v>
      </c>
      <c r="IH20" s="1">
        <v>272.887</v>
      </c>
      <c r="II20" s="1">
        <v>272.14800000000002</v>
      </c>
      <c r="IJ20" s="1">
        <v>273.92099999999999</v>
      </c>
      <c r="IK20" s="1">
        <v>270.05500000000001</v>
      </c>
      <c r="IL20" s="1">
        <v>265.88499999999999</v>
      </c>
      <c r="IM20" s="1">
        <v>265.65699999999998</v>
      </c>
      <c r="IN20" s="1">
        <v>262.22300000000001</v>
      </c>
      <c r="IO20" s="1">
        <v>252.41200000000001</v>
      </c>
      <c r="IP20" s="1">
        <v>247.637</v>
      </c>
      <c r="IQ20" s="1">
        <v>243.27</v>
      </c>
      <c r="IR20" s="1">
        <v>248.77199999999999</v>
      </c>
      <c r="IS20" s="1">
        <v>254.81800000000001</v>
      </c>
      <c r="IT20" s="1">
        <v>256.93</v>
      </c>
      <c r="IU20" s="1">
        <v>249.90899999999999</v>
      </c>
      <c r="IV20" s="1">
        <v>244.59299999999999</v>
      </c>
      <c r="IW20" s="1">
        <v>236.10599999999999</v>
      </c>
      <c r="IX20" s="1">
        <v>238.02199999999999</v>
      </c>
      <c r="IY20" s="1">
        <v>242.97300000000001</v>
      </c>
      <c r="IZ20" s="1">
        <v>243.64</v>
      </c>
      <c r="JA20" s="1">
        <v>241.03899999999999</v>
      </c>
      <c r="JB20" s="1">
        <v>241.185</v>
      </c>
      <c r="JC20" s="1"/>
      <c r="JD20" t="s">
        <v>45</v>
      </c>
    </row>
    <row r="21" spans="1:264" x14ac:dyDescent="0.25">
      <c r="A21" s="4" t="s">
        <v>18</v>
      </c>
      <c r="B21" t="s">
        <v>34</v>
      </c>
      <c r="C21" t="s">
        <v>37</v>
      </c>
      <c r="D21" t="s">
        <v>43</v>
      </c>
      <c r="F21" t="s">
        <v>39</v>
      </c>
      <c r="G21" s="3">
        <f ca="1">_xll.BDH(A21&amp;" corp",D21,TODAY()-365,TODAY(),"pcs="&amp;B21,"dir=h","dates=h","sort=r","fill=-","cols=86;rows=1")</f>
        <v>343.01600000000002</v>
      </c>
      <c r="H21" s="1">
        <v>347.88400000000001</v>
      </c>
      <c r="I21" s="1">
        <v>350.178</v>
      </c>
      <c r="J21" s="1">
        <v>344.32499999999999</v>
      </c>
      <c r="K21" s="1">
        <v>343.02</v>
      </c>
      <c r="L21" s="1">
        <v>346.1</v>
      </c>
      <c r="M21" s="1">
        <v>346.80399999999997</v>
      </c>
      <c r="N21" s="1">
        <v>344.98500000000001</v>
      </c>
      <c r="O21" s="1">
        <v>336.40600000000001</v>
      </c>
      <c r="P21" s="1">
        <v>336.64600000000002</v>
      </c>
      <c r="Q21" s="1">
        <v>343.15</v>
      </c>
      <c r="R21" s="1">
        <v>349.52300000000002</v>
      </c>
      <c r="S21" s="1">
        <v>346.48200000000003</v>
      </c>
      <c r="T21" s="1">
        <v>348.02300000000002</v>
      </c>
      <c r="U21" s="1">
        <v>353.87</v>
      </c>
      <c r="V21" s="1">
        <v>356.41399999999999</v>
      </c>
      <c r="W21" s="1">
        <v>359.03</v>
      </c>
      <c r="X21" s="1">
        <v>351.85599999999999</v>
      </c>
      <c r="Y21" s="1">
        <v>338.63299999999998</v>
      </c>
      <c r="Z21" s="1">
        <v>338.33199999999999</v>
      </c>
      <c r="AA21" s="1">
        <v>348.202</v>
      </c>
      <c r="AB21" s="1">
        <v>326.44099999999997</v>
      </c>
      <c r="AC21" s="1">
        <v>327.66699999999997</v>
      </c>
      <c r="AD21" s="1">
        <v>330.00299999999999</v>
      </c>
      <c r="AE21" s="1">
        <v>335.053</v>
      </c>
      <c r="AF21" s="1">
        <v>336.86</v>
      </c>
      <c r="AG21" s="1">
        <v>333.67500000000001</v>
      </c>
      <c r="AH21" s="1">
        <v>326.16199999999998</v>
      </c>
      <c r="AI21" s="1">
        <v>328.26100000000002</v>
      </c>
      <c r="AJ21" s="1">
        <v>324.81299999999999</v>
      </c>
      <c r="AK21" s="1">
        <v>317.33499999999998</v>
      </c>
      <c r="AL21" s="1">
        <v>315.90800000000002</v>
      </c>
      <c r="AM21" s="1">
        <v>315.37700000000001</v>
      </c>
      <c r="AN21" s="1">
        <v>316.505</v>
      </c>
      <c r="AO21" s="1">
        <v>315.048</v>
      </c>
      <c r="AP21" s="1">
        <v>313.73500000000001</v>
      </c>
      <c r="AQ21" s="1">
        <v>315.02199999999999</v>
      </c>
      <c r="AR21" s="1">
        <v>313.07799999999997</v>
      </c>
      <c r="AS21" s="1">
        <v>307.846</v>
      </c>
      <c r="AT21" s="1">
        <v>307.02800000000002</v>
      </c>
      <c r="AU21" s="1">
        <v>314.70600000000002</v>
      </c>
      <c r="AV21" s="1">
        <v>317.98</v>
      </c>
      <c r="AW21" s="1">
        <v>317.88200000000001</v>
      </c>
      <c r="AX21" s="1">
        <v>314.09300000000002</v>
      </c>
      <c r="AY21" s="1">
        <v>311.60000000000002</v>
      </c>
      <c r="AZ21" s="1">
        <v>305.78399999999999</v>
      </c>
      <c r="BA21" s="1">
        <v>297.88400000000001</v>
      </c>
      <c r="BB21" s="1">
        <v>290.61700000000002</v>
      </c>
      <c r="BC21" s="1">
        <v>292.25</v>
      </c>
      <c r="BD21" s="1">
        <v>294.48599999999999</v>
      </c>
      <c r="BE21" s="1">
        <v>314.03199999999998</v>
      </c>
      <c r="BF21" s="1">
        <v>318.60000000000002</v>
      </c>
      <c r="BG21" s="1">
        <v>323.95699999999999</v>
      </c>
      <c r="BH21" s="1">
        <v>323.95800000000003</v>
      </c>
      <c r="BI21" s="1">
        <v>346.57600000000002</v>
      </c>
      <c r="BJ21" s="1">
        <v>356.90300000000002</v>
      </c>
      <c r="BK21" s="1">
        <v>356.20299999999997</v>
      </c>
      <c r="BL21" s="1">
        <v>352.95699999999999</v>
      </c>
      <c r="BM21" s="1">
        <v>340.87299999999999</v>
      </c>
      <c r="BN21" s="1">
        <v>341.17899999999997</v>
      </c>
      <c r="BO21" s="1">
        <v>336.31799999999998</v>
      </c>
      <c r="BP21" s="1">
        <v>333.68400000000003</v>
      </c>
      <c r="BQ21" s="1">
        <v>336.37900000000002</v>
      </c>
      <c r="BR21" s="1">
        <v>340.96100000000001</v>
      </c>
      <c r="BS21" s="1">
        <v>335.452</v>
      </c>
      <c r="BT21" s="1">
        <v>347.654</v>
      </c>
      <c r="BU21" s="1">
        <v>355.01600000000002</v>
      </c>
      <c r="BV21" s="1">
        <v>358.10500000000002</v>
      </c>
      <c r="BW21" s="1">
        <v>358.94099999999997</v>
      </c>
      <c r="BX21" s="1">
        <v>366.92500000000001</v>
      </c>
      <c r="BY21" s="1">
        <v>364.72</v>
      </c>
      <c r="BZ21" s="1">
        <v>371.14800000000002</v>
      </c>
      <c r="CA21" s="1">
        <v>365.16300000000001</v>
      </c>
      <c r="CB21" s="1">
        <v>362.291</v>
      </c>
      <c r="CC21" s="1">
        <v>356.14800000000002</v>
      </c>
      <c r="CD21" s="1">
        <v>354.73099999999999</v>
      </c>
      <c r="CE21" s="1">
        <v>358.99299999999999</v>
      </c>
      <c r="CF21" s="1">
        <v>358.47500000000002</v>
      </c>
      <c r="CG21" s="1">
        <v>363.05799999999999</v>
      </c>
      <c r="CH21" s="1">
        <v>376.12200000000001</v>
      </c>
      <c r="CI21" s="1">
        <v>381.22199999999998</v>
      </c>
      <c r="CJ21" s="1">
        <v>385.803</v>
      </c>
      <c r="CK21" s="1">
        <v>386.23200000000003</v>
      </c>
      <c r="CL21" s="1">
        <v>383.69499999999999</v>
      </c>
      <c r="CM21" s="1">
        <v>375.60199999999998</v>
      </c>
      <c r="CN21" s="1">
        <v>381.85399999999998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t="s">
        <v>45</v>
      </c>
    </row>
    <row r="22" spans="1:264" x14ac:dyDescent="0.25">
      <c r="A22" s="4" t="s">
        <v>19</v>
      </c>
      <c r="B22" t="s">
        <v>34</v>
      </c>
      <c r="C22" t="s">
        <v>37</v>
      </c>
      <c r="D22" t="s">
        <v>43</v>
      </c>
      <c r="E22" t="s">
        <v>58</v>
      </c>
      <c r="F22" t="s">
        <v>39</v>
      </c>
      <c r="G22" s="3">
        <f ca="1">_xll.BDH(A22&amp;" corp",D22,TODAY()-365,TODAY(),"pcs="&amp;B22,"dir=h","dates=h","sort=r","fill=-","cols=256;rows=1")</f>
        <v>248.518</v>
      </c>
      <c r="H22" s="1">
        <v>251.61699999999999</v>
      </c>
      <c r="I22" s="1">
        <v>253.697</v>
      </c>
      <c r="J22" s="1">
        <v>247.35499999999999</v>
      </c>
      <c r="K22" s="1">
        <v>245.964</v>
      </c>
      <c r="L22" s="1">
        <v>245.43799999999999</v>
      </c>
      <c r="M22" s="1">
        <v>246.12700000000001</v>
      </c>
      <c r="N22" s="1">
        <v>245.81399999999999</v>
      </c>
      <c r="O22" s="1">
        <v>243.16800000000001</v>
      </c>
      <c r="P22" s="1">
        <v>242.89099999999999</v>
      </c>
      <c r="Q22" s="1">
        <v>248.15700000000001</v>
      </c>
      <c r="R22" s="1">
        <v>253.31700000000001</v>
      </c>
      <c r="S22" s="1">
        <v>254.31899999999999</v>
      </c>
      <c r="T22" s="1">
        <v>260.315</v>
      </c>
      <c r="U22" s="1">
        <v>265.30099999999999</v>
      </c>
      <c r="V22" s="1">
        <v>266.88900000000001</v>
      </c>
      <c r="W22" s="1">
        <v>269.517</v>
      </c>
      <c r="X22" s="1">
        <v>263.78500000000003</v>
      </c>
      <c r="Y22" s="1">
        <v>256.02199999999999</v>
      </c>
      <c r="Z22" s="1">
        <v>257.81599999999997</v>
      </c>
      <c r="AA22" s="1">
        <v>253.45699999999999</v>
      </c>
      <c r="AB22" s="1">
        <v>243.90199999999999</v>
      </c>
      <c r="AC22" s="1">
        <v>248.23599999999999</v>
      </c>
      <c r="AD22" s="1">
        <v>251.1</v>
      </c>
      <c r="AE22" s="1">
        <v>254.559</v>
      </c>
      <c r="AF22" s="1">
        <v>255.595</v>
      </c>
      <c r="AG22" s="1">
        <v>254.74799999999999</v>
      </c>
      <c r="AH22" s="1">
        <v>250.34899999999999</v>
      </c>
      <c r="AI22" s="1">
        <v>252.87200000000001</v>
      </c>
      <c r="AJ22" s="1">
        <v>252.041</v>
      </c>
      <c r="AK22" s="1">
        <v>247.583</v>
      </c>
      <c r="AL22" s="1">
        <v>248.84</v>
      </c>
      <c r="AM22" s="1">
        <v>248.63399999999999</v>
      </c>
      <c r="AN22" s="1">
        <v>253.78299999999999</v>
      </c>
      <c r="AO22" s="1">
        <v>254.60300000000001</v>
      </c>
      <c r="AP22" s="1">
        <v>252.47</v>
      </c>
      <c r="AQ22" s="1">
        <v>256.46899999999999</v>
      </c>
      <c r="AR22" s="1">
        <v>255.30600000000001</v>
      </c>
      <c r="AS22" s="1">
        <v>252.048</v>
      </c>
      <c r="AT22" s="1">
        <v>251.01300000000001</v>
      </c>
      <c r="AU22" s="1">
        <v>255.87200000000001</v>
      </c>
      <c r="AV22" s="1">
        <v>257.34899999999999</v>
      </c>
      <c r="AW22" s="1">
        <v>257.10500000000002</v>
      </c>
      <c r="AX22" s="1">
        <v>254.851</v>
      </c>
      <c r="AY22" s="1">
        <v>253.64599999999999</v>
      </c>
      <c r="AZ22" s="1">
        <v>250.91900000000001</v>
      </c>
      <c r="BA22" s="1">
        <v>248.91200000000001</v>
      </c>
      <c r="BB22" s="1">
        <v>246.65</v>
      </c>
      <c r="BC22" s="1">
        <v>250.90100000000001</v>
      </c>
      <c r="BD22" s="1">
        <v>254.12299999999999</v>
      </c>
      <c r="BE22" s="1">
        <v>261.01</v>
      </c>
      <c r="BF22" s="1">
        <v>263.613</v>
      </c>
      <c r="BG22" s="1">
        <v>272.08</v>
      </c>
      <c r="BH22" s="1">
        <v>274.30099999999999</v>
      </c>
      <c r="BI22" s="1">
        <v>280.13200000000001</v>
      </c>
      <c r="BJ22" s="1">
        <v>279.34100000000001</v>
      </c>
      <c r="BK22" s="1">
        <v>278.98500000000001</v>
      </c>
      <c r="BL22" s="1">
        <v>280.233</v>
      </c>
      <c r="BM22" s="1">
        <v>274.73099999999999</v>
      </c>
      <c r="BN22" s="1">
        <v>274.11799999999999</v>
      </c>
      <c r="BO22" s="1">
        <v>271.82900000000001</v>
      </c>
      <c r="BP22" s="1">
        <v>271.42700000000002</v>
      </c>
      <c r="BQ22" s="1">
        <v>271.959</v>
      </c>
      <c r="BR22" s="1">
        <v>275.52199999999999</v>
      </c>
      <c r="BS22" s="1">
        <v>273.79399999999998</v>
      </c>
      <c r="BT22" s="1">
        <v>286.089</v>
      </c>
      <c r="BU22" s="1">
        <v>298.00400000000002</v>
      </c>
      <c r="BV22" s="1">
        <v>300.49599999999998</v>
      </c>
      <c r="BW22" s="1">
        <v>301.209</v>
      </c>
      <c r="BX22" s="1">
        <v>302.96100000000001</v>
      </c>
      <c r="BY22" s="1">
        <v>302.101</v>
      </c>
      <c r="BZ22" s="1">
        <v>305.70600000000002</v>
      </c>
      <c r="CA22" s="1">
        <v>302.40499999999997</v>
      </c>
      <c r="CB22" s="1">
        <v>299.60599999999999</v>
      </c>
      <c r="CC22" s="1">
        <v>296.12700000000001</v>
      </c>
      <c r="CD22" s="1">
        <v>296.74400000000003</v>
      </c>
      <c r="CE22" s="1">
        <v>302.84199999999998</v>
      </c>
      <c r="CF22" s="1">
        <v>304.95999999999998</v>
      </c>
      <c r="CG22" s="1">
        <v>307.21100000000001</v>
      </c>
      <c r="CH22" s="1">
        <v>314.20600000000002</v>
      </c>
      <c r="CI22" s="1">
        <v>315.89299999999997</v>
      </c>
      <c r="CJ22" s="1">
        <v>315.935</v>
      </c>
      <c r="CK22" s="1">
        <v>314.12099999999998</v>
      </c>
      <c r="CL22" s="1">
        <v>311.61500000000001</v>
      </c>
      <c r="CM22" s="1">
        <v>308.10899999999998</v>
      </c>
      <c r="CN22" s="1">
        <v>310.93799999999999</v>
      </c>
      <c r="CO22" s="1">
        <v>304.08699999999999</v>
      </c>
      <c r="CP22" s="1">
        <v>303.09300000000002</v>
      </c>
      <c r="CQ22" s="1">
        <v>294.27999999999997</v>
      </c>
      <c r="CR22" s="1">
        <v>287.76799999999997</v>
      </c>
      <c r="CS22" s="1">
        <v>298.56900000000002</v>
      </c>
      <c r="CT22" s="1">
        <v>294.11599999999999</v>
      </c>
      <c r="CU22" s="1">
        <v>291.52800000000002</v>
      </c>
      <c r="CV22" s="1">
        <v>268.55500000000001</v>
      </c>
      <c r="CW22" s="1">
        <v>253.65</v>
      </c>
      <c r="CX22" s="1">
        <v>248.71799999999999</v>
      </c>
      <c r="CY22" s="1">
        <v>254.28299999999999</v>
      </c>
      <c r="CZ22" s="1">
        <v>276.755</v>
      </c>
      <c r="DA22" s="1">
        <v>290.80500000000001</v>
      </c>
      <c r="DB22" s="1">
        <v>299.68700000000001</v>
      </c>
      <c r="DC22" s="1">
        <v>302.93599999999998</v>
      </c>
      <c r="DD22" s="1">
        <v>303.63900000000001</v>
      </c>
      <c r="DE22" s="1">
        <v>299.20600000000002</v>
      </c>
      <c r="DF22" s="1">
        <v>301.839</v>
      </c>
      <c r="DG22" s="1">
        <v>314.80799999999999</v>
      </c>
      <c r="DH22" s="1">
        <v>323.96300000000002</v>
      </c>
      <c r="DI22" s="1">
        <v>334.63</v>
      </c>
      <c r="DJ22" s="1">
        <v>335.55500000000001</v>
      </c>
      <c r="DK22" s="1">
        <v>340.43099999999998</v>
      </c>
      <c r="DL22" s="1">
        <v>348.50599999999997</v>
      </c>
      <c r="DM22" s="1">
        <v>358.70100000000002</v>
      </c>
      <c r="DN22" s="1">
        <v>364.98500000000001</v>
      </c>
      <c r="DO22" s="1">
        <v>366.82900000000001</v>
      </c>
      <c r="DP22" s="1">
        <v>357.79899999999998</v>
      </c>
      <c r="DQ22" s="1">
        <v>355.06299999999999</v>
      </c>
      <c r="DR22" s="1">
        <v>352.71699999999998</v>
      </c>
      <c r="DS22" s="1">
        <v>353.202</v>
      </c>
      <c r="DT22" s="1">
        <v>351.22500000000002</v>
      </c>
      <c r="DU22" s="1">
        <v>352.40899999999999</v>
      </c>
      <c r="DV22" s="1">
        <v>356.565</v>
      </c>
      <c r="DW22" s="1">
        <v>356.13499999999999</v>
      </c>
      <c r="DX22" s="1">
        <v>335.959</v>
      </c>
      <c r="DY22" s="1">
        <v>332.73</v>
      </c>
      <c r="DZ22" s="1">
        <v>324.04500000000002</v>
      </c>
      <c r="EA22" s="1">
        <v>318.52199999999999</v>
      </c>
      <c r="EB22" s="1">
        <v>315.93799999999999</v>
      </c>
      <c r="EC22" s="1">
        <v>335.904</v>
      </c>
      <c r="ED22" s="1">
        <v>336.517</v>
      </c>
      <c r="EE22" s="1">
        <v>341.06200000000001</v>
      </c>
      <c r="EF22" s="1">
        <v>345.40199999999999</v>
      </c>
      <c r="EG22" s="1">
        <v>328.06900000000002</v>
      </c>
      <c r="EH22" s="1">
        <v>323.20800000000003</v>
      </c>
      <c r="EI22" s="1">
        <v>321.16300000000001</v>
      </c>
      <c r="EJ22" s="1">
        <v>309.589</v>
      </c>
      <c r="EK22" s="1">
        <v>300.51900000000001</v>
      </c>
      <c r="EL22" s="1">
        <v>327.976</v>
      </c>
      <c r="EM22" s="1">
        <v>354.13499999999999</v>
      </c>
      <c r="EN22" s="1">
        <v>361.96199999999999</v>
      </c>
      <c r="EO22" s="1">
        <v>392.63900000000001</v>
      </c>
      <c r="EP22" s="1">
        <v>405.68200000000002</v>
      </c>
      <c r="EQ22" s="1">
        <v>409.267</v>
      </c>
      <c r="ER22" s="1">
        <v>415.74900000000002</v>
      </c>
      <c r="ES22" s="1">
        <v>426.96499999999997</v>
      </c>
      <c r="ET22" s="1">
        <v>441.69200000000001</v>
      </c>
      <c r="EU22" s="1">
        <v>447.709</v>
      </c>
      <c r="EV22" s="1">
        <v>454.096</v>
      </c>
      <c r="EW22" s="1">
        <v>464.73399999999998</v>
      </c>
      <c r="EX22" s="1">
        <v>530.64800000000002</v>
      </c>
      <c r="EY22" s="1">
        <v>554.40099999999995</v>
      </c>
      <c r="EZ22" s="1">
        <v>539.86300000000006</v>
      </c>
      <c r="FA22" s="1">
        <v>545.14400000000001</v>
      </c>
      <c r="FB22" s="1">
        <v>549.71900000000005</v>
      </c>
      <c r="FC22" s="1">
        <v>482.90899999999999</v>
      </c>
      <c r="FD22" s="1">
        <v>434.24799999999999</v>
      </c>
      <c r="FE22" s="1">
        <v>369.99799999999999</v>
      </c>
      <c r="FF22" s="1">
        <v>371.45</v>
      </c>
      <c r="FG22" s="1">
        <v>321.55900000000003</v>
      </c>
      <c r="FH22" s="1">
        <v>320.99700000000001</v>
      </c>
      <c r="FI22" s="1">
        <v>335.10599999999999</v>
      </c>
      <c r="FJ22" s="1">
        <v>267.35399999999998</v>
      </c>
      <c r="FK22" s="1">
        <v>241.33199999999999</v>
      </c>
      <c r="FL22" s="1">
        <v>235.15799999999999</v>
      </c>
      <c r="FM22" s="1">
        <v>245.053</v>
      </c>
      <c r="FN22" s="1">
        <v>259.53199999999998</v>
      </c>
      <c r="FO22" s="1">
        <v>256.77</v>
      </c>
      <c r="FP22" s="1">
        <v>235.745</v>
      </c>
      <c r="FQ22" s="1">
        <v>216.3</v>
      </c>
      <c r="FR22" s="1">
        <v>209.298</v>
      </c>
      <c r="FS22" s="1">
        <v>203.047</v>
      </c>
      <c r="FT22" s="1">
        <v>186.56899999999999</v>
      </c>
      <c r="FU22" s="1">
        <v>189.91200000000001</v>
      </c>
      <c r="FV22" s="1">
        <v>191.11799999999999</v>
      </c>
      <c r="FW22" s="1">
        <v>192.505</v>
      </c>
      <c r="FX22" s="1">
        <v>192.82900000000001</v>
      </c>
      <c r="FY22" s="1">
        <v>194.155</v>
      </c>
      <c r="FZ22" s="1">
        <v>194.92599999999999</v>
      </c>
      <c r="GA22" s="1">
        <v>194.17500000000001</v>
      </c>
      <c r="GB22" s="1">
        <v>194.82300000000001</v>
      </c>
      <c r="GC22" s="1">
        <v>196.143</v>
      </c>
      <c r="GD22" s="1">
        <v>192.79300000000001</v>
      </c>
      <c r="GE22" s="1">
        <v>189.94300000000001</v>
      </c>
      <c r="GF22" s="1">
        <v>192.31</v>
      </c>
      <c r="GG22" s="1">
        <v>198.13900000000001</v>
      </c>
      <c r="GH22" s="1">
        <v>210.57300000000001</v>
      </c>
      <c r="GI22" s="1">
        <v>210.33600000000001</v>
      </c>
      <c r="GJ22" s="1">
        <v>208.57499999999999</v>
      </c>
      <c r="GK22" s="1">
        <v>205.102</v>
      </c>
      <c r="GL22" s="1">
        <v>205.65299999999999</v>
      </c>
      <c r="GM22" s="1">
        <v>209.24100000000001</v>
      </c>
      <c r="GN22" s="1">
        <v>201.024</v>
      </c>
      <c r="GO22" s="1">
        <v>195.40700000000001</v>
      </c>
      <c r="GP22" s="1">
        <v>191.72300000000001</v>
      </c>
      <c r="GQ22" s="1">
        <v>188.80799999999999</v>
      </c>
      <c r="GR22" s="1">
        <v>186.63499999999999</v>
      </c>
      <c r="GS22" s="1">
        <v>189.334</v>
      </c>
      <c r="GT22" s="1">
        <v>194.72900000000001</v>
      </c>
      <c r="GU22" s="1">
        <v>202.929</v>
      </c>
      <c r="GV22" s="1">
        <v>203.535</v>
      </c>
      <c r="GW22" s="1">
        <v>203.63499999999999</v>
      </c>
      <c r="GX22" s="1">
        <v>207.72900000000001</v>
      </c>
      <c r="GY22" s="1">
        <v>208.01</v>
      </c>
      <c r="GZ22" s="1">
        <v>211.25800000000001</v>
      </c>
      <c r="HA22" s="1">
        <v>210.04300000000001</v>
      </c>
      <c r="HB22" s="1">
        <v>208.90600000000001</v>
      </c>
      <c r="HC22" s="1">
        <v>206.27199999999999</v>
      </c>
      <c r="HD22" s="1">
        <v>201.23099999999999</v>
      </c>
      <c r="HE22" s="1">
        <v>197.92500000000001</v>
      </c>
      <c r="HF22" s="1">
        <v>198.93799999999999</v>
      </c>
      <c r="HG22" s="1">
        <v>204.446</v>
      </c>
      <c r="HH22" s="1">
        <v>202.84200000000001</v>
      </c>
      <c r="HI22" s="1">
        <v>203.279</v>
      </c>
      <c r="HJ22" s="1">
        <v>205.328</v>
      </c>
      <c r="HK22" s="1">
        <v>205.11600000000001</v>
      </c>
      <c r="HL22" s="1">
        <v>206.57499999999999</v>
      </c>
      <c r="HM22" s="1">
        <v>210.244</v>
      </c>
      <c r="HN22" s="1">
        <v>211.62200000000001</v>
      </c>
      <c r="HO22" s="1">
        <v>212.08600000000001</v>
      </c>
      <c r="HP22" s="1">
        <v>216.005</v>
      </c>
      <c r="HQ22" s="1">
        <v>219.46100000000001</v>
      </c>
      <c r="HR22" s="1">
        <v>217.36099999999999</v>
      </c>
      <c r="HS22" s="1">
        <v>217.94900000000001</v>
      </c>
      <c r="HT22" s="1">
        <v>220.316</v>
      </c>
      <c r="HU22" s="1">
        <v>222.03</v>
      </c>
      <c r="HV22" s="1">
        <v>226.21</v>
      </c>
      <c r="HW22" s="1">
        <v>228.953</v>
      </c>
      <c r="HX22" s="1">
        <v>219.785</v>
      </c>
      <c r="HY22" s="1">
        <v>224.86600000000001</v>
      </c>
      <c r="HZ22" s="1">
        <v>226.08</v>
      </c>
      <c r="IA22" s="1">
        <v>224.506</v>
      </c>
      <c r="IB22" s="1">
        <v>223.315</v>
      </c>
      <c r="IC22" s="1">
        <v>229.37</v>
      </c>
      <c r="ID22" s="1">
        <v>239.04300000000001</v>
      </c>
      <c r="IE22" s="1">
        <v>239.09399999999999</v>
      </c>
      <c r="IF22" s="1">
        <v>240.24799999999999</v>
      </c>
      <c r="IG22" s="1">
        <v>235.80799999999999</v>
      </c>
      <c r="IH22" s="1">
        <v>234.01</v>
      </c>
      <c r="II22" s="1">
        <v>233.822</v>
      </c>
      <c r="IJ22" s="1">
        <v>234.23099999999999</v>
      </c>
      <c r="IK22" s="1">
        <v>231.55699999999999</v>
      </c>
      <c r="IL22" s="1">
        <v>228.55500000000001</v>
      </c>
      <c r="IM22" s="1">
        <v>227.49100000000001</v>
      </c>
      <c r="IN22" s="1">
        <v>221.93600000000001</v>
      </c>
      <c r="IO22" s="1">
        <v>215.11099999999999</v>
      </c>
      <c r="IP22" s="1">
        <v>217.87200000000001</v>
      </c>
      <c r="IQ22" s="1">
        <v>215.83099999999999</v>
      </c>
      <c r="IR22" s="1">
        <v>223.95500000000001</v>
      </c>
      <c r="IS22" s="1">
        <v>230.25299999999999</v>
      </c>
      <c r="IT22" s="1">
        <v>231.93799999999999</v>
      </c>
      <c r="IU22" s="1">
        <v>226.92400000000001</v>
      </c>
      <c r="IV22" s="1">
        <v>224.38</v>
      </c>
      <c r="IW22" s="1">
        <v>220.63800000000001</v>
      </c>
      <c r="IX22" s="1">
        <v>222.70099999999999</v>
      </c>
      <c r="IY22" s="1">
        <v>227.029</v>
      </c>
      <c r="IZ22" s="1">
        <v>229.50399999999999</v>
      </c>
      <c r="JA22" s="1">
        <v>228.46700000000001</v>
      </c>
      <c r="JB22" s="1">
        <v>229.202</v>
      </c>
      <c r="JC22" s="1"/>
      <c r="JD22" t="s">
        <v>45</v>
      </c>
    </row>
    <row r="23" spans="1:264" x14ac:dyDescent="0.25">
      <c r="A23" s="4" t="s">
        <v>20</v>
      </c>
      <c r="B23" t="s">
        <v>34</v>
      </c>
      <c r="C23" t="s">
        <v>37</v>
      </c>
      <c r="D23" t="s">
        <v>43</v>
      </c>
      <c r="F23" t="s">
        <v>39</v>
      </c>
      <c r="G23" s="3">
        <f ca="1">_xll.BDH(A23&amp;" corp",D23,TODAY()-365,TODAY(),"pcs="&amp;B23,"dir=h","dates=h","sort=r","fill=-","cols=256;rows=1")</f>
        <v>368.61799999999999</v>
      </c>
      <c r="H23" s="1">
        <v>374.26499999999999</v>
      </c>
      <c r="I23" s="1">
        <v>379.45100000000002</v>
      </c>
      <c r="J23" s="1">
        <v>364.82499999999999</v>
      </c>
      <c r="K23" s="1">
        <v>359.61200000000002</v>
      </c>
      <c r="L23" s="1">
        <v>356.59100000000001</v>
      </c>
      <c r="M23" s="1">
        <v>355.91500000000002</v>
      </c>
      <c r="N23" s="1">
        <v>350.904</v>
      </c>
      <c r="O23" s="1">
        <v>340.34699999999998</v>
      </c>
      <c r="P23" s="1">
        <v>339.54700000000003</v>
      </c>
      <c r="Q23" s="1">
        <v>348.40300000000002</v>
      </c>
      <c r="R23" s="1">
        <v>356.99700000000001</v>
      </c>
      <c r="S23" s="1">
        <v>358.262</v>
      </c>
      <c r="T23" s="1">
        <v>367.52199999999999</v>
      </c>
      <c r="U23" s="1">
        <v>379.86900000000003</v>
      </c>
      <c r="V23" s="1">
        <v>387.154</v>
      </c>
      <c r="W23" s="1">
        <v>394.35199999999998</v>
      </c>
      <c r="X23" s="1">
        <v>380.19600000000003</v>
      </c>
      <c r="Y23" s="1">
        <v>362.762</v>
      </c>
      <c r="Z23" s="1">
        <v>362.4</v>
      </c>
      <c r="AA23" s="1">
        <v>358.24</v>
      </c>
      <c r="AB23" s="1">
        <v>336.935</v>
      </c>
      <c r="AC23" s="1">
        <v>336.94400000000002</v>
      </c>
      <c r="AD23" s="1">
        <v>337.44499999999999</v>
      </c>
      <c r="AE23" s="1">
        <v>344.09100000000001</v>
      </c>
      <c r="AF23" s="1">
        <v>347.86799999999999</v>
      </c>
      <c r="AG23" s="1">
        <v>347.38900000000001</v>
      </c>
      <c r="AH23" s="1">
        <v>343.67200000000003</v>
      </c>
      <c r="AI23" s="1">
        <v>348.84699999999998</v>
      </c>
      <c r="AJ23" s="1">
        <v>349.44400000000002</v>
      </c>
      <c r="AK23" s="1">
        <v>346.67899999999997</v>
      </c>
      <c r="AL23" s="1">
        <v>347.45</v>
      </c>
      <c r="AM23" s="1">
        <v>344.05900000000003</v>
      </c>
      <c r="AN23" s="1">
        <v>342.85500000000002</v>
      </c>
      <c r="AO23" s="1">
        <v>350.459</v>
      </c>
      <c r="AP23" s="1">
        <v>351.262</v>
      </c>
      <c r="AQ23" s="1">
        <v>351.75200000000001</v>
      </c>
      <c r="AR23" s="1">
        <v>350.97300000000001</v>
      </c>
      <c r="AS23" s="1">
        <v>343.95499999999998</v>
      </c>
      <c r="AT23" s="1">
        <v>336.12299999999999</v>
      </c>
      <c r="AU23" s="1">
        <v>344.62799999999999</v>
      </c>
      <c r="AV23" s="1">
        <v>360.97300000000001</v>
      </c>
      <c r="AW23" s="1">
        <v>365.72500000000002</v>
      </c>
      <c r="AX23" s="1">
        <v>365.97899999999998</v>
      </c>
      <c r="AY23" s="1">
        <v>363.37</v>
      </c>
      <c r="AZ23" s="1">
        <v>360.57400000000001</v>
      </c>
      <c r="BA23" s="1">
        <v>349.97699999999998</v>
      </c>
      <c r="BB23" s="1">
        <v>342.02800000000002</v>
      </c>
      <c r="BC23" s="1">
        <v>342.68700000000001</v>
      </c>
      <c r="BD23" s="1">
        <v>344.68299999999999</v>
      </c>
      <c r="BE23" s="1">
        <v>360.34300000000002</v>
      </c>
      <c r="BF23" s="1">
        <v>368.15</v>
      </c>
      <c r="BG23" s="1">
        <v>376.529</v>
      </c>
      <c r="BH23" s="1">
        <v>379.78699999999998</v>
      </c>
      <c r="BI23" s="1">
        <v>389.61099999999999</v>
      </c>
      <c r="BJ23" s="1">
        <v>393.226</v>
      </c>
      <c r="BK23" s="1">
        <v>389.899</v>
      </c>
      <c r="BL23" s="1">
        <v>384.529</v>
      </c>
      <c r="BM23" s="1">
        <v>367.16</v>
      </c>
      <c r="BN23" s="1">
        <v>362.81299999999999</v>
      </c>
      <c r="BO23" s="1">
        <v>356.17</v>
      </c>
      <c r="BP23" s="1">
        <v>352.28699999999998</v>
      </c>
      <c r="BQ23" s="1">
        <v>354.07799999999997</v>
      </c>
      <c r="BR23" s="1">
        <v>356.03</v>
      </c>
      <c r="BS23" s="1">
        <v>353.65100000000001</v>
      </c>
      <c r="BT23" s="1">
        <v>377.69900000000001</v>
      </c>
      <c r="BU23" s="1">
        <v>388.40199999999999</v>
      </c>
      <c r="BV23" s="1">
        <v>394.72199999999998</v>
      </c>
      <c r="BW23" s="1">
        <v>394.62</v>
      </c>
      <c r="BX23" s="1">
        <v>398.13499999999999</v>
      </c>
      <c r="BY23" s="1">
        <v>396.85899999999998</v>
      </c>
      <c r="BZ23" s="1">
        <v>401.07600000000002</v>
      </c>
      <c r="CA23" s="1">
        <v>396.78699999999998</v>
      </c>
      <c r="CB23" s="1">
        <v>396.86099999999999</v>
      </c>
      <c r="CC23" s="1">
        <v>394.23399999999998</v>
      </c>
      <c r="CD23" s="1">
        <v>393.93</v>
      </c>
      <c r="CE23" s="1">
        <v>399.90499999999997</v>
      </c>
      <c r="CF23" s="1">
        <v>400.26100000000002</v>
      </c>
      <c r="CG23" s="1">
        <v>399.62</v>
      </c>
      <c r="CH23" s="1">
        <v>405.79</v>
      </c>
      <c r="CI23" s="1">
        <v>410.37</v>
      </c>
      <c r="CJ23" s="1">
        <v>412.24599999999998</v>
      </c>
      <c r="CK23" s="1">
        <v>410.23500000000001</v>
      </c>
      <c r="CL23" s="1">
        <v>406.34699999999998</v>
      </c>
      <c r="CM23" s="1">
        <v>400.71</v>
      </c>
      <c r="CN23" s="1">
        <v>409.12799999999999</v>
      </c>
      <c r="CO23" s="1">
        <v>398.303</v>
      </c>
      <c r="CP23" s="1">
        <v>396.517</v>
      </c>
      <c r="CQ23" s="1">
        <v>380.875</v>
      </c>
      <c r="CR23" s="1">
        <v>366.88499999999999</v>
      </c>
      <c r="CS23" s="1">
        <v>383.46899999999999</v>
      </c>
      <c r="CT23" s="1">
        <v>377.36399999999998</v>
      </c>
      <c r="CU23" s="1">
        <v>387.32499999999999</v>
      </c>
      <c r="CV23" s="1">
        <v>353.52600000000001</v>
      </c>
      <c r="CW23" s="1">
        <v>348.69200000000001</v>
      </c>
      <c r="CX23" s="1">
        <v>307.30700000000002</v>
      </c>
      <c r="CY23" s="1">
        <v>323.238</v>
      </c>
      <c r="CZ23" s="1">
        <v>361.66500000000002</v>
      </c>
      <c r="DA23" s="1">
        <v>375.88</v>
      </c>
      <c r="DB23" s="1">
        <v>400.161</v>
      </c>
      <c r="DC23" s="1">
        <v>407.072</v>
      </c>
      <c r="DD23" s="1">
        <v>405.53899999999999</v>
      </c>
      <c r="DE23" s="1">
        <v>397.07</v>
      </c>
      <c r="DF23" s="1">
        <v>396.68799999999999</v>
      </c>
      <c r="DG23" s="1">
        <v>409.28399999999999</v>
      </c>
      <c r="DH23" s="1">
        <v>430.61500000000001</v>
      </c>
      <c r="DI23" s="1">
        <v>426.40199999999999</v>
      </c>
      <c r="DJ23" s="1">
        <v>426.05799999999999</v>
      </c>
      <c r="DK23" s="1">
        <v>429.81099999999998</v>
      </c>
      <c r="DL23" s="1">
        <v>439.786</v>
      </c>
      <c r="DM23" s="1">
        <v>461.23899999999998</v>
      </c>
      <c r="DN23" s="1">
        <v>472.98200000000003</v>
      </c>
      <c r="DO23" s="1">
        <v>475.99</v>
      </c>
      <c r="DP23" s="1">
        <v>468.42099999999999</v>
      </c>
      <c r="DQ23" s="1">
        <v>466.125</v>
      </c>
      <c r="DR23" s="1">
        <v>468.82600000000002</v>
      </c>
      <c r="DS23" s="1">
        <v>473.072</v>
      </c>
      <c r="DT23" s="1">
        <v>480.298</v>
      </c>
      <c r="DU23" s="1">
        <v>480.93200000000002</v>
      </c>
      <c r="DV23" s="1">
        <v>487.18200000000002</v>
      </c>
      <c r="DW23" s="1">
        <v>492.28300000000002</v>
      </c>
      <c r="DX23" s="1">
        <v>463.62700000000001</v>
      </c>
      <c r="DY23" s="1">
        <v>461.31700000000001</v>
      </c>
      <c r="DZ23" s="1">
        <v>447.99799999999999</v>
      </c>
      <c r="EA23" s="1">
        <v>433.76900000000001</v>
      </c>
      <c r="EB23" s="1">
        <v>422.10199999999998</v>
      </c>
      <c r="EC23" s="1">
        <v>447.17</v>
      </c>
      <c r="ED23" s="1">
        <v>456.93099999999998</v>
      </c>
      <c r="EE23" s="1">
        <v>500.13200000000001</v>
      </c>
      <c r="EF23" s="1">
        <v>511.34199999999998</v>
      </c>
      <c r="EG23" s="1">
        <v>493.61700000000002</v>
      </c>
      <c r="EH23" s="1">
        <v>483.64400000000001</v>
      </c>
      <c r="EI23" s="1">
        <v>474.78699999999998</v>
      </c>
      <c r="EJ23" s="1">
        <v>443.387</v>
      </c>
      <c r="EK23" s="1">
        <v>423.214</v>
      </c>
      <c r="EL23" s="1">
        <v>476.81599999999997</v>
      </c>
      <c r="EM23" s="1">
        <v>529.73099999999999</v>
      </c>
      <c r="EN23" s="1">
        <v>556.31500000000005</v>
      </c>
      <c r="EO23" s="1">
        <v>617.36800000000005</v>
      </c>
      <c r="EP23" s="1">
        <v>623.64400000000001</v>
      </c>
      <c r="EQ23" s="1">
        <v>617.39400000000001</v>
      </c>
      <c r="ER23" s="1">
        <v>597.34500000000003</v>
      </c>
      <c r="ES23" s="1">
        <v>588.63300000000004</v>
      </c>
      <c r="ET23" s="1">
        <v>586.70699999999999</v>
      </c>
      <c r="EU23" s="1">
        <v>541.57000000000005</v>
      </c>
      <c r="EV23" s="1">
        <v>495.947</v>
      </c>
      <c r="EW23" s="1">
        <v>489.452</v>
      </c>
      <c r="EX23" s="1">
        <v>620.20299999999997</v>
      </c>
      <c r="EY23" s="1">
        <v>662.12800000000004</v>
      </c>
      <c r="EZ23" s="1">
        <v>647.02200000000005</v>
      </c>
      <c r="FA23" s="1">
        <v>740.28700000000003</v>
      </c>
      <c r="FB23" s="1">
        <v>746.24099999999999</v>
      </c>
      <c r="FC23" s="1">
        <v>663.82399999999996</v>
      </c>
      <c r="FD23" s="1">
        <v>565.11</v>
      </c>
      <c r="FE23" s="1">
        <v>476.40800000000002</v>
      </c>
      <c r="FF23" s="1">
        <v>464.83800000000002</v>
      </c>
      <c r="FG23" s="1">
        <v>380.06700000000001</v>
      </c>
      <c r="FH23" s="1">
        <v>370.00599999999997</v>
      </c>
      <c r="FI23" s="1">
        <v>387.43200000000002</v>
      </c>
      <c r="FJ23" s="1">
        <v>331.51499999999999</v>
      </c>
      <c r="FK23" s="1">
        <v>297.90600000000001</v>
      </c>
      <c r="FL23" s="1">
        <v>283.04000000000002</v>
      </c>
      <c r="FM23" s="1">
        <v>289.98500000000001</v>
      </c>
      <c r="FN23" s="1">
        <v>317.99299999999999</v>
      </c>
      <c r="FO23" s="1">
        <v>320.33</v>
      </c>
      <c r="FP23" s="1">
        <v>291.154</v>
      </c>
      <c r="FQ23" s="1">
        <v>270.988</v>
      </c>
      <c r="FR23" s="1">
        <v>266.91899999999998</v>
      </c>
      <c r="FS23" s="1">
        <v>262.55700000000002</v>
      </c>
      <c r="FT23" s="1">
        <v>240.90600000000001</v>
      </c>
      <c r="FU23" s="1">
        <v>242.59899999999999</v>
      </c>
      <c r="FV23" s="1">
        <v>243.19900000000001</v>
      </c>
      <c r="FW23" s="1">
        <v>245.34200000000001</v>
      </c>
      <c r="FX23" s="1">
        <v>243.53899999999999</v>
      </c>
      <c r="FY23" s="1">
        <v>244.85599999999999</v>
      </c>
      <c r="FZ23" s="1">
        <v>244.74799999999999</v>
      </c>
      <c r="GA23" s="1">
        <v>244.488</v>
      </c>
      <c r="GB23" s="1">
        <v>247.20699999999999</v>
      </c>
      <c r="GC23" s="1">
        <v>248.60900000000001</v>
      </c>
      <c r="GD23" s="1">
        <v>243.91900000000001</v>
      </c>
      <c r="GE23" s="1">
        <v>240.20599999999999</v>
      </c>
      <c r="GF23" s="1">
        <v>242.17</v>
      </c>
      <c r="GG23" s="1">
        <v>252.48099999999999</v>
      </c>
      <c r="GH23" s="1">
        <v>260.71499999999997</v>
      </c>
      <c r="GI23" s="1">
        <v>258.29599999999999</v>
      </c>
      <c r="GJ23" s="1">
        <v>254.869</v>
      </c>
      <c r="GK23" s="1">
        <v>248.78299999999999</v>
      </c>
      <c r="GL23" s="1">
        <v>250.404</v>
      </c>
      <c r="GM23" s="1">
        <v>253.619</v>
      </c>
      <c r="GN23" s="1">
        <v>242.191</v>
      </c>
      <c r="GO23" s="1">
        <v>238.15199999999999</v>
      </c>
      <c r="GP23" s="1">
        <v>230.809</v>
      </c>
      <c r="GQ23" s="1">
        <v>230.44399999999999</v>
      </c>
      <c r="GR23" s="1">
        <v>227.48699999999999</v>
      </c>
      <c r="GS23" s="1">
        <v>229.02799999999999</v>
      </c>
      <c r="GT23" s="1">
        <v>234.15899999999999</v>
      </c>
      <c r="GU23" s="1">
        <v>237.19499999999999</v>
      </c>
      <c r="GV23" s="1">
        <v>235.096</v>
      </c>
      <c r="GW23" s="1">
        <v>233.11699999999999</v>
      </c>
      <c r="GX23" s="1">
        <v>235.28200000000001</v>
      </c>
      <c r="GY23" s="1">
        <v>234.59200000000001</v>
      </c>
      <c r="GZ23" s="1">
        <v>241.738</v>
      </c>
      <c r="HA23" s="1">
        <v>238.17599999999999</v>
      </c>
      <c r="HB23" s="1">
        <v>233.55699999999999</v>
      </c>
      <c r="HC23" s="1">
        <v>229.89699999999999</v>
      </c>
      <c r="HD23" s="1">
        <v>221.791</v>
      </c>
      <c r="HE23" s="1">
        <v>221.23599999999999</v>
      </c>
      <c r="HF23" s="1">
        <v>218.477</v>
      </c>
      <c r="HG23" s="1">
        <v>222.83199999999999</v>
      </c>
      <c r="HH23" s="1">
        <v>223.02500000000001</v>
      </c>
      <c r="HI23" s="1">
        <v>222.58199999999999</v>
      </c>
      <c r="HJ23" s="1">
        <v>224.50700000000001</v>
      </c>
      <c r="HK23" s="1">
        <v>224.15600000000001</v>
      </c>
      <c r="HL23" s="1">
        <v>226.21299999999999</v>
      </c>
      <c r="HM23" s="1">
        <v>228.72300000000001</v>
      </c>
      <c r="HN23" s="1">
        <v>230.32499999999999</v>
      </c>
      <c r="HO23" s="1">
        <v>230.755</v>
      </c>
      <c r="HP23" s="1">
        <v>233.625</v>
      </c>
      <c r="HQ23" s="1">
        <v>235.28</v>
      </c>
      <c r="HR23" s="1">
        <v>232.167</v>
      </c>
      <c r="HS23" s="1">
        <v>234.75399999999999</v>
      </c>
      <c r="HT23" s="1">
        <v>240.934</v>
      </c>
      <c r="HU23" s="1">
        <v>246.63800000000001</v>
      </c>
      <c r="HV23" s="1">
        <v>255.643</v>
      </c>
      <c r="HW23" s="1">
        <v>258.279</v>
      </c>
      <c r="HX23" s="1">
        <v>250.583</v>
      </c>
      <c r="HY23" s="1">
        <v>256.68900000000002</v>
      </c>
      <c r="HZ23" s="1">
        <v>256.85000000000002</v>
      </c>
      <c r="IA23" s="1">
        <v>254.92699999999999</v>
      </c>
      <c r="IB23" s="1">
        <v>254.946</v>
      </c>
      <c r="IC23" s="1">
        <v>259.15100000000001</v>
      </c>
      <c r="ID23" s="1">
        <v>271.00299999999999</v>
      </c>
      <c r="IE23" s="1">
        <v>274.22399999999999</v>
      </c>
      <c r="IF23" s="1">
        <v>275.75700000000001</v>
      </c>
      <c r="IG23" s="1">
        <v>270.81</v>
      </c>
      <c r="IH23" s="1">
        <v>270.14999999999998</v>
      </c>
      <c r="II23" s="1">
        <v>270.15199999999999</v>
      </c>
      <c r="IJ23" s="1">
        <v>272.38299999999998</v>
      </c>
      <c r="IK23" s="1">
        <v>270.553</v>
      </c>
      <c r="IL23" s="1">
        <v>266.30900000000003</v>
      </c>
      <c r="IM23" s="1">
        <v>266.95999999999998</v>
      </c>
      <c r="IN23" s="1">
        <v>262.67500000000001</v>
      </c>
      <c r="IO23" s="1">
        <v>258.22000000000003</v>
      </c>
      <c r="IP23" s="1">
        <v>257.935</v>
      </c>
      <c r="IQ23" s="1">
        <v>253.958</v>
      </c>
      <c r="IR23" s="1">
        <v>262.88799999999998</v>
      </c>
      <c r="IS23" s="1">
        <v>276.38299999999998</v>
      </c>
      <c r="IT23" s="1">
        <v>277.83300000000003</v>
      </c>
      <c r="IU23" s="1">
        <v>274.428</v>
      </c>
      <c r="IV23" s="1">
        <v>269.95499999999998</v>
      </c>
      <c r="IW23" s="1">
        <v>265.02999999999997</v>
      </c>
      <c r="IX23" s="1">
        <v>268.14</v>
      </c>
      <c r="IY23" s="1">
        <v>272.50200000000001</v>
      </c>
      <c r="IZ23" s="1">
        <v>275.78199999999998</v>
      </c>
      <c r="JA23" s="1">
        <v>276.327</v>
      </c>
      <c r="JB23" s="1">
        <v>277.26</v>
      </c>
      <c r="JC23" s="1"/>
      <c r="JD23" t="s">
        <v>45</v>
      </c>
    </row>
    <row r="24" spans="1:264" x14ac:dyDescent="0.25">
      <c r="A24" s="4" t="s">
        <v>21</v>
      </c>
      <c r="B24" t="s">
        <v>34</v>
      </c>
      <c r="C24" t="s">
        <v>37</v>
      </c>
      <c r="D24" t="s">
        <v>43</v>
      </c>
      <c r="F24" t="s">
        <v>39</v>
      </c>
      <c r="G24" s="3">
        <f ca="1">_xll.BDH(A24&amp;" corp",D24,TODAY()-365,TODAY(),"pcs="&amp;B24,"dir=h","dates=h","sort=r","fill=-","cols=257;rows=1")</f>
        <v>218.589</v>
      </c>
      <c r="H24" s="1">
        <v>219.81200000000001</v>
      </c>
      <c r="I24" s="1">
        <v>220.37799999999999</v>
      </c>
      <c r="J24" s="1">
        <v>211.50800000000001</v>
      </c>
      <c r="K24" s="1">
        <v>209.423</v>
      </c>
      <c r="L24" s="1">
        <v>207.274</v>
      </c>
      <c r="M24" s="1">
        <v>206.095</v>
      </c>
      <c r="N24" s="1">
        <v>204.51300000000001</v>
      </c>
      <c r="O24" s="1">
        <v>201.08799999999999</v>
      </c>
      <c r="P24" s="1">
        <v>200.69300000000001</v>
      </c>
      <c r="Q24" s="1">
        <v>206.142</v>
      </c>
      <c r="R24" s="1">
        <v>216.839</v>
      </c>
      <c r="S24" s="1">
        <v>210.57400000000001</v>
      </c>
      <c r="T24" s="1">
        <v>214.06700000000001</v>
      </c>
      <c r="U24" s="1">
        <v>219.30500000000001</v>
      </c>
      <c r="V24" s="1">
        <v>224.387</v>
      </c>
      <c r="W24" s="1">
        <v>226.661</v>
      </c>
      <c r="X24" s="1">
        <v>222.59399999999999</v>
      </c>
      <c r="Y24" s="1">
        <v>214.95699999999999</v>
      </c>
      <c r="Z24" s="1">
        <v>216</v>
      </c>
      <c r="AA24" s="1">
        <v>219.33500000000001</v>
      </c>
      <c r="AB24" s="1">
        <v>211.93700000000001</v>
      </c>
      <c r="AC24" s="1">
        <v>212.71700000000001</v>
      </c>
      <c r="AD24" s="1">
        <v>212.36199999999999</v>
      </c>
      <c r="AE24" s="1">
        <v>211.34299999999999</v>
      </c>
      <c r="AF24" s="1">
        <v>214.57</v>
      </c>
      <c r="AG24" s="1">
        <v>211.47200000000001</v>
      </c>
      <c r="AH24" s="1">
        <v>202.06</v>
      </c>
      <c r="AI24" s="1">
        <v>204.71100000000001</v>
      </c>
      <c r="AJ24" s="1">
        <v>202.97900000000001</v>
      </c>
      <c r="AK24" s="1">
        <v>199.64</v>
      </c>
      <c r="AL24" s="1">
        <v>200.96100000000001</v>
      </c>
      <c r="AM24" s="1">
        <v>198.3</v>
      </c>
      <c r="AN24" s="1">
        <v>197.429</v>
      </c>
      <c r="AO24" s="1">
        <v>197.76400000000001</v>
      </c>
      <c r="AP24" s="1">
        <v>189.774</v>
      </c>
      <c r="AQ24" s="1">
        <v>197.81100000000001</v>
      </c>
      <c r="AR24" s="1">
        <v>196.43600000000001</v>
      </c>
      <c r="AS24" s="1">
        <v>192.18299999999999</v>
      </c>
      <c r="AT24" s="1">
        <v>191.14099999999999</v>
      </c>
      <c r="AU24" s="1">
        <v>193.36500000000001</v>
      </c>
      <c r="AV24" s="1">
        <v>198.02099999999999</v>
      </c>
      <c r="AW24" s="1">
        <v>199.03700000000001</v>
      </c>
      <c r="AX24" s="1">
        <v>197.196</v>
      </c>
      <c r="AY24" s="1">
        <v>195.88399999999999</v>
      </c>
      <c r="AZ24" s="1">
        <v>193.506</v>
      </c>
      <c r="BA24" s="1">
        <v>191.68199999999999</v>
      </c>
      <c r="BB24" s="1">
        <v>191.083</v>
      </c>
      <c r="BC24" s="1">
        <v>193.804</v>
      </c>
      <c r="BD24" s="1">
        <v>197.73500000000001</v>
      </c>
      <c r="BE24" s="1">
        <v>205.79300000000001</v>
      </c>
      <c r="BF24" s="1">
        <v>208.25800000000001</v>
      </c>
      <c r="BG24" s="1">
        <v>213</v>
      </c>
      <c r="BH24" s="1">
        <v>215.14699999999999</v>
      </c>
      <c r="BI24" s="1">
        <v>221.12899999999999</v>
      </c>
      <c r="BJ24" s="1">
        <v>220.839</v>
      </c>
      <c r="BK24" s="1">
        <v>220.29400000000001</v>
      </c>
      <c r="BL24" s="1">
        <v>219.44499999999999</v>
      </c>
      <c r="BM24" s="1">
        <v>214.041</v>
      </c>
      <c r="BN24" s="1">
        <v>214.46100000000001</v>
      </c>
      <c r="BO24" s="1">
        <v>211.38800000000001</v>
      </c>
      <c r="BP24" s="1">
        <v>208.453</v>
      </c>
      <c r="BQ24" s="1">
        <v>210.58199999999999</v>
      </c>
      <c r="BR24" s="1">
        <v>211.637</v>
      </c>
      <c r="BS24" s="1">
        <v>210.43100000000001</v>
      </c>
      <c r="BT24" s="1">
        <v>221.761</v>
      </c>
      <c r="BU24" s="1">
        <v>229.584</v>
      </c>
      <c r="BV24" s="1">
        <v>234.30799999999999</v>
      </c>
      <c r="BW24" s="1">
        <v>235.68700000000001</v>
      </c>
      <c r="BX24" s="1">
        <v>241.71899999999999</v>
      </c>
      <c r="BY24" s="1">
        <v>235.209</v>
      </c>
      <c r="BZ24" s="1">
        <v>231.614</v>
      </c>
      <c r="CA24" s="1">
        <v>229.57400000000001</v>
      </c>
      <c r="CB24" s="1">
        <v>223.34</v>
      </c>
      <c r="CC24" s="1">
        <v>220.02799999999999</v>
      </c>
      <c r="CD24" s="1">
        <v>219.67400000000001</v>
      </c>
      <c r="CE24" s="1">
        <v>227.51300000000001</v>
      </c>
      <c r="CF24" s="1">
        <v>229.96799999999999</v>
      </c>
      <c r="CG24" s="1">
        <v>231.84399999999999</v>
      </c>
      <c r="CH24" s="1">
        <v>236.429</v>
      </c>
      <c r="CI24" s="1">
        <v>238.715</v>
      </c>
      <c r="CJ24" s="1">
        <v>236.49700000000001</v>
      </c>
      <c r="CK24" s="1">
        <v>236.81800000000001</v>
      </c>
      <c r="CL24" s="1">
        <v>234.792</v>
      </c>
      <c r="CM24" s="1">
        <v>232.23599999999999</v>
      </c>
      <c r="CN24" s="1">
        <v>234.249</v>
      </c>
      <c r="CO24" s="1">
        <v>230.73400000000001</v>
      </c>
      <c r="CP24" s="1">
        <v>230.56100000000001</v>
      </c>
      <c r="CQ24" s="1">
        <v>221.72</v>
      </c>
      <c r="CR24" s="1">
        <v>212.51900000000001</v>
      </c>
      <c r="CS24" s="1">
        <v>235.71799999999999</v>
      </c>
      <c r="CT24" s="1">
        <v>234.82300000000001</v>
      </c>
      <c r="CU24" s="1">
        <v>229.53100000000001</v>
      </c>
      <c r="CV24" s="1">
        <v>207.31299999999999</v>
      </c>
      <c r="CW24" s="1">
        <v>196.87899999999999</v>
      </c>
      <c r="CX24" s="1">
        <v>187.10300000000001</v>
      </c>
      <c r="CY24" s="1">
        <v>192.46899999999999</v>
      </c>
      <c r="CZ24" s="1">
        <v>198.99299999999999</v>
      </c>
      <c r="DA24" s="1">
        <v>204.16399999999999</v>
      </c>
      <c r="DB24" s="1">
        <v>209.571</v>
      </c>
      <c r="DC24" s="1">
        <v>209.84700000000001</v>
      </c>
      <c r="DD24" s="1">
        <v>210.08600000000001</v>
      </c>
      <c r="DE24" s="1">
        <v>206.98400000000001</v>
      </c>
      <c r="DF24" s="1">
        <v>206.48500000000001</v>
      </c>
      <c r="DG24" s="1">
        <v>217.16200000000001</v>
      </c>
      <c r="DH24" s="1">
        <v>203.917</v>
      </c>
      <c r="DI24" s="1">
        <v>238.59800000000001</v>
      </c>
      <c r="DJ24" s="1">
        <v>244.28899999999999</v>
      </c>
      <c r="DK24" s="1">
        <v>244.947</v>
      </c>
      <c r="DL24" s="1">
        <v>253.68100000000001</v>
      </c>
      <c r="DM24" s="1">
        <v>269.38299999999998</v>
      </c>
      <c r="DN24" s="1">
        <v>274.25299999999999</v>
      </c>
      <c r="DO24" s="1">
        <v>275.27999999999997</v>
      </c>
      <c r="DP24" s="1">
        <v>265.35599999999999</v>
      </c>
      <c r="DQ24" s="1">
        <v>265.83199999999999</v>
      </c>
      <c r="DR24" s="1">
        <v>271.20400000000001</v>
      </c>
      <c r="DS24" s="1">
        <v>287.471</v>
      </c>
      <c r="DT24" s="1">
        <v>281.60000000000002</v>
      </c>
      <c r="DU24" s="1">
        <v>280.28399999999999</v>
      </c>
      <c r="DV24" s="1">
        <v>283.70600000000002</v>
      </c>
      <c r="DW24" s="1">
        <v>283.87700000000001</v>
      </c>
      <c r="DX24" s="1">
        <v>277.66500000000002</v>
      </c>
      <c r="DY24" s="1">
        <v>272.53899999999999</v>
      </c>
      <c r="DZ24" s="1">
        <v>265.00799999999998</v>
      </c>
      <c r="EA24" s="1">
        <v>259.13</v>
      </c>
      <c r="EB24" s="1">
        <v>252.11600000000001</v>
      </c>
      <c r="EC24" s="1">
        <v>262.51900000000001</v>
      </c>
      <c r="ED24" s="1">
        <v>263.85000000000002</v>
      </c>
      <c r="EE24" s="1">
        <v>271.58600000000001</v>
      </c>
      <c r="EF24" s="1">
        <v>275.35000000000002</v>
      </c>
      <c r="EG24" s="1">
        <v>271.66500000000002</v>
      </c>
      <c r="EH24" s="1">
        <v>274.81700000000001</v>
      </c>
      <c r="EI24" s="1">
        <v>281.67</v>
      </c>
      <c r="EJ24" s="1">
        <v>274.32900000000001</v>
      </c>
      <c r="EK24" s="1">
        <v>281.86900000000003</v>
      </c>
      <c r="EL24" s="1">
        <v>301.92200000000003</v>
      </c>
      <c r="EM24" s="1">
        <v>318.98500000000001</v>
      </c>
      <c r="EN24" s="1">
        <v>348.42700000000002</v>
      </c>
      <c r="EO24" s="1">
        <v>372.26600000000002</v>
      </c>
      <c r="EP24" s="1">
        <v>399.149</v>
      </c>
      <c r="EQ24" s="1">
        <v>414.98700000000002</v>
      </c>
      <c r="ER24" s="1">
        <v>411.21499999999997</v>
      </c>
      <c r="ES24" s="1">
        <v>413.82299999999998</v>
      </c>
      <c r="ET24" s="1">
        <v>417.36399999999998</v>
      </c>
      <c r="EU24" s="1">
        <v>426.84100000000001</v>
      </c>
      <c r="EV24" s="1">
        <v>426.93700000000001</v>
      </c>
      <c r="EW24" s="1">
        <v>432.53</v>
      </c>
      <c r="EX24" s="1">
        <v>435.40300000000002</v>
      </c>
      <c r="EY24" s="1">
        <v>488.04500000000002</v>
      </c>
      <c r="EZ24" s="1">
        <v>493.404</v>
      </c>
      <c r="FA24" s="1">
        <v>472.59899999999999</v>
      </c>
      <c r="FB24" s="1">
        <v>475.60500000000002</v>
      </c>
      <c r="FC24" s="1">
        <v>477.18200000000002</v>
      </c>
      <c r="FD24" s="1">
        <v>393.13299999999998</v>
      </c>
      <c r="FE24" s="1">
        <v>362.59899999999999</v>
      </c>
      <c r="FF24" s="1">
        <v>287.661</v>
      </c>
      <c r="FG24" s="1">
        <v>277.53500000000003</v>
      </c>
      <c r="FH24" s="1">
        <v>239.529</v>
      </c>
      <c r="FI24" s="1">
        <v>237.422</v>
      </c>
      <c r="FJ24" s="1">
        <v>245.58099999999999</v>
      </c>
      <c r="FK24" s="1">
        <v>203.68799999999999</v>
      </c>
      <c r="FL24" s="1">
        <v>184.93799999999999</v>
      </c>
      <c r="FM24" s="1">
        <v>175.27699999999999</v>
      </c>
      <c r="FN24" s="1">
        <v>175.83199999999999</v>
      </c>
      <c r="FO24" s="1">
        <v>190.084</v>
      </c>
      <c r="FP24" s="1">
        <v>185</v>
      </c>
      <c r="FQ24" s="1">
        <v>166.10400000000001</v>
      </c>
      <c r="FR24" s="1">
        <v>154.654</v>
      </c>
      <c r="FS24" s="1">
        <v>146.351</v>
      </c>
      <c r="FT24" s="1">
        <v>135.441</v>
      </c>
      <c r="FU24" s="1">
        <v>122.197</v>
      </c>
      <c r="FV24" s="1">
        <v>123.708</v>
      </c>
      <c r="FW24" s="1">
        <v>125.114</v>
      </c>
      <c r="FX24" s="1">
        <v>127.166</v>
      </c>
      <c r="FY24" s="1">
        <v>127.283</v>
      </c>
      <c r="FZ24" s="1">
        <v>128.68199999999999</v>
      </c>
      <c r="GA24" s="1">
        <v>129.63999999999999</v>
      </c>
      <c r="GB24" s="1">
        <v>129.292</v>
      </c>
      <c r="GC24" s="1">
        <v>131.57599999999999</v>
      </c>
      <c r="GD24" s="1">
        <v>133.66499999999999</v>
      </c>
      <c r="GE24" s="1">
        <v>130.99700000000001</v>
      </c>
      <c r="GF24" s="1">
        <v>129.292</v>
      </c>
      <c r="GG24" s="1">
        <v>130.28</v>
      </c>
      <c r="GH24" s="1">
        <v>133.018</v>
      </c>
      <c r="GI24" s="1">
        <v>142.934</v>
      </c>
      <c r="GJ24" s="1">
        <v>142.863</v>
      </c>
      <c r="GK24" s="1">
        <v>142.285</v>
      </c>
      <c r="GL24" s="1">
        <v>139.29599999999999</v>
      </c>
      <c r="GM24" s="1">
        <v>141.203</v>
      </c>
      <c r="GN24" s="1">
        <v>145.65199999999999</v>
      </c>
      <c r="GO24" s="1">
        <v>136.732</v>
      </c>
      <c r="GP24" s="1">
        <v>133.41300000000001</v>
      </c>
      <c r="GQ24" s="1">
        <v>128.37899999999999</v>
      </c>
      <c r="GR24" s="1">
        <v>127.679</v>
      </c>
      <c r="GS24" s="1">
        <v>126.53</v>
      </c>
      <c r="GT24" s="1">
        <v>126.941</v>
      </c>
      <c r="GU24" s="1">
        <v>130.91</v>
      </c>
      <c r="GV24" s="1">
        <v>134.11699999999999</v>
      </c>
      <c r="GW24" s="1">
        <v>133.84399999999999</v>
      </c>
      <c r="GX24" s="1">
        <v>134.535</v>
      </c>
      <c r="GY24" s="1">
        <v>136.90199999999999</v>
      </c>
      <c r="GZ24" s="1">
        <v>136.49</v>
      </c>
      <c r="HA24" s="1">
        <v>142.37700000000001</v>
      </c>
      <c r="HB24" s="1">
        <v>141.45699999999999</v>
      </c>
      <c r="HC24" s="1">
        <v>139.93100000000001</v>
      </c>
      <c r="HD24" s="1">
        <v>138.089</v>
      </c>
      <c r="HE24" s="1">
        <v>134.358</v>
      </c>
      <c r="HF24" s="1">
        <v>133.20500000000001</v>
      </c>
      <c r="HG24" s="1">
        <v>131.95699999999999</v>
      </c>
      <c r="HH24" s="1">
        <v>134.27199999999999</v>
      </c>
      <c r="HI24" s="1">
        <v>135.32499999999999</v>
      </c>
      <c r="HJ24" s="1">
        <v>135.726</v>
      </c>
      <c r="HK24" s="1">
        <v>137.28200000000001</v>
      </c>
      <c r="HL24" s="1">
        <v>137.917</v>
      </c>
      <c r="HM24" s="1">
        <v>139.589</v>
      </c>
      <c r="HN24" s="1">
        <v>142.68799999999999</v>
      </c>
      <c r="HO24" s="1">
        <v>142.46100000000001</v>
      </c>
      <c r="HP24" s="1">
        <v>143.726</v>
      </c>
      <c r="HQ24" s="1">
        <v>147.626</v>
      </c>
      <c r="HR24" s="1">
        <v>150.48500000000001</v>
      </c>
      <c r="HS24" s="1">
        <v>149.053</v>
      </c>
      <c r="HT24" s="1">
        <v>149.339</v>
      </c>
      <c r="HU24" s="1">
        <v>155.05699999999999</v>
      </c>
      <c r="HV24" s="1">
        <v>157.15700000000001</v>
      </c>
      <c r="HW24" s="1">
        <v>162.065</v>
      </c>
      <c r="HX24" s="1">
        <v>164.96799999999999</v>
      </c>
      <c r="HY24" s="1">
        <v>158.47399999999999</v>
      </c>
      <c r="HZ24" s="1">
        <v>161.85499999999999</v>
      </c>
      <c r="IA24" s="1">
        <v>164.52</v>
      </c>
      <c r="IB24" s="1">
        <v>163.018</v>
      </c>
      <c r="IC24" s="1">
        <v>162.20400000000001</v>
      </c>
      <c r="ID24" s="1">
        <v>163.85</v>
      </c>
      <c r="IE24" s="1">
        <v>169.72</v>
      </c>
      <c r="IF24" s="1">
        <v>170.75299999999999</v>
      </c>
      <c r="IG24" s="1">
        <v>170.708</v>
      </c>
      <c r="IH24" s="1">
        <v>167.393</v>
      </c>
      <c r="II24" s="1">
        <v>165.98699999999999</v>
      </c>
      <c r="IJ24" s="1">
        <v>166.12200000000001</v>
      </c>
      <c r="IK24" s="1">
        <v>164.929</v>
      </c>
      <c r="IL24" s="1">
        <v>161.82499999999999</v>
      </c>
      <c r="IM24" s="1">
        <v>157.596</v>
      </c>
      <c r="IN24" s="1">
        <v>158.36500000000001</v>
      </c>
      <c r="IO24" s="1">
        <v>157.09100000000001</v>
      </c>
      <c r="IP24" s="1">
        <v>151.369</v>
      </c>
      <c r="IQ24" s="1">
        <v>150.78200000000001</v>
      </c>
      <c r="IR24" s="1">
        <v>147.583</v>
      </c>
      <c r="IS24" s="1">
        <v>154.78299999999999</v>
      </c>
      <c r="IT24" s="1">
        <v>161.78100000000001</v>
      </c>
      <c r="IU24" s="1">
        <v>162.19300000000001</v>
      </c>
      <c r="IV24" s="1">
        <v>159.059</v>
      </c>
      <c r="IW24" s="1">
        <v>158.803</v>
      </c>
      <c r="IX24" s="1">
        <v>156.00800000000001</v>
      </c>
      <c r="IY24" s="1">
        <v>157.45099999999999</v>
      </c>
      <c r="IZ24" s="1">
        <v>161.19</v>
      </c>
      <c r="JA24" s="1">
        <v>160.845</v>
      </c>
      <c r="JB24" s="1">
        <v>158.68100000000001</v>
      </c>
      <c r="JC24" s="1">
        <v>160.744</v>
      </c>
      <c r="JD24" t="s">
        <v>45</v>
      </c>
    </row>
    <row r="25" spans="1:264" x14ac:dyDescent="0.25">
      <c r="A25" s="4" t="s">
        <v>22</v>
      </c>
      <c r="B25" t="s">
        <v>34</v>
      </c>
      <c r="C25" t="s">
        <v>37</v>
      </c>
      <c r="D25" t="s">
        <v>43</v>
      </c>
      <c r="F25" t="s">
        <v>39</v>
      </c>
      <c r="G25" s="3">
        <f ca="1">_xll.BDH(A25&amp;" corp",D25,TODAY()-365,TODAY(),"pcs="&amp;B25,"dir=h","dates=h","sort=r","fill=-","cols=12;rows=1")</f>
        <v>205.60599999999999</v>
      </c>
      <c r="H25" s="1">
        <v>207.63200000000001</v>
      </c>
      <c r="I25" s="1">
        <v>210.809</v>
      </c>
      <c r="J25" s="1">
        <v>195.81</v>
      </c>
      <c r="K25" s="1">
        <v>189.74700000000001</v>
      </c>
      <c r="L25" s="1">
        <v>189.88</v>
      </c>
      <c r="M25" s="1">
        <v>189.36199999999999</v>
      </c>
      <c r="N25" s="1">
        <v>192.006</v>
      </c>
      <c r="O25" s="1">
        <v>191.601</v>
      </c>
      <c r="P25" s="1">
        <v>192.744</v>
      </c>
      <c r="Q25" s="1">
        <v>195.91</v>
      </c>
      <c r="R25" s="1">
        <v>197.45099999999999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t="s">
        <v>45</v>
      </c>
    </row>
    <row r="26" spans="1:264" x14ac:dyDescent="0.25">
      <c r="A26" s="4" t="s">
        <v>23</v>
      </c>
      <c r="B26" t="s">
        <v>34</v>
      </c>
      <c r="C26" t="s">
        <v>37</v>
      </c>
      <c r="D26" t="s">
        <v>43</v>
      </c>
      <c r="E26" t="s">
        <v>58</v>
      </c>
      <c r="F26" t="s">
        <v>39</v>
      </c>
      <c r="G26" s="3">
        <f ca="1">_xll.BDH(A26&amp;" corp",D26,TODAY()-365,TODAY(),"pcs="&amp;B26,"dir=h","dates=h","sort=r","fill=-","cols=85;rows=1")</f>
        <v>306.51400000000001</v>
      </c>
      <c r="H26" s="1">
        <v>309.86799999999999</v>
      </c>
      <c r="I26" s="1">
        <v>310.54300000000001</v>
      </c>
      <c r="J26" s="1">
        <v>305.65600000000001</v>
      </c>
      <c r="K26" s="1">
        <v>305.52999999999997</v>
      </c>
      <c r="L26" s="1">
        <v>303.57799999999997</v>
      </c>
      <c r="M26" s="1">
        <v>303.07499999999999</v>
      </c>
      <c r="N26" s="1">
        <v>301.70999999999998</v>
      </c>
      <c r="O26" s="1">
        <v>298.07400000000001</v>
      </c>
      <c r="P26" s="1">
        <v>298.90699999999998</v>
      </c>
      <c r="Q26" s="1">
        <v>301.44900000000001</v>
      </c>
      <c r="R26" s="1">
        <v>305.79899999999998</v>
      </c>
      <c r="S26" s="1">
        <v>305.27699999999999</v>
      </c>
      <c r="T26" s="1">
        <v>307.35599999999999</v>
      </c>
      <c r="U26" s="1">
        <v>311.06700000000001</v>
      </c>
      <c r="V26" s="1">
        <v>311.16399999999999</v>
      </c>
      <c r="W26" s="1">
        <v>313.53500000000003</v>
      </c>
      <c r="X26" s="1">
        <v>307.923</v>
      </c>
      <c r="Y26" s="1">
        <v>299.95100000000002</v>
      </c>
      <c r="Z26" s="1">
        <v>301.20600000000002</v>
      </c>
      <c r="AA26" s="1">
        <v>304.08499999999998</v>
      </c>
      <c r="AB26" s="1">
        <v>296.512</v>
      </c>
      <c r="AC26" s="1">
        <v>298.65499999999997</v>
      </c>
      <c r="AD26" s="1">
        <v>297.32299999999998</v>
      </c>
      <c r="AE26" s="1">
        <v>298.89600000000002</v>
      </c>
      <c r="AF26" s="1">
        <v>301.642</v>
      </c>
      <c r="AG26" s="1">
        <v>301.15899999999999</v>
      </c>
      <c r="AH26" s="1">
        <v>294.26100000000002</v>
      </c>
      <c r="AI26" s="1">
        <v>293.11799999999999</v>
      </c>
      <c r="AJ26" s="1">
        <v>294.09800000000001</v>
      </c>
      <c r="AK26" s="1">
        <v>287.64999999999998</v>
      </c>
      <c r="AL26" s="1">
        <v>286.23200000000003</v>
      </c>
      <c r="AM26" s="1">
        <v>285.03699999999998</v>
      </c>
      <c r="AN26" s="1">
        <v>287.404</v>
      </c>
      <c r="AO26" s="1">
        <v>285.70800000000003</v>
      </c>
      <c r="AP26" s="1">
        <v>285.255</v>
      </c>
      <c r="AQ26" s="1">
        <v>280.94799999999998</v>
      </c>
      <c r="AR26" s="1">
        <v>280.38799999999998</v>
      </c>
      <c r="AS26" s="1">
        <v>280.541</v>
      </c>
      <c r="AT26" s="1">
        <v>285.87400000000002</v>
      </c>
      <c r="AU26" s="1">
        <v>287.41300000000001</v>
      </c>
      <c r="AV26" s="1">
        <v>287.36500000000001</v>
      </c>
      <c r="AW26" s="1">
        <v>282.55399999999997</v>
      </c>
      <c r="AX26" s="1">
        <v>283.85300000000001</v>
      </c>
      <c r="AY26" s="1">
        <v>279.995</v>
      </c>
      <c r="AZ26" s="1">
        <v>274.58100000000002</v>
      </c>
      <c r="BA26" s="1">
        <v>271.86099999999999</v>
      </c>
      <c r="BB26" s="1">
        <v>270.72699999999998</v>
      </c>
      <c r="BC26" s="1">
        <v>273.68400000000003</v>
      </c>
      <c r="BD26" s="1">
        <v>295.71300000000002</v>
      </c>
      <c r="BE26" s="1">
        <v>299.81200000000001</v>
      </c>
      <c r="BF26" s="1">
        <v>307.41199999999998</v>
      </c>
      <c r="BG26" s="1">
        <v>309.65600000000001</v>
      </c>
      <c r="BH26" s="1">
        <v>329.50700000000001</v>
      </c>
      <c r="BI26" s="1">
        <v>336.22</v>
      </c>
      <c r="BJ26" s="1">
        <v>338.46800000000002</v>
      </c>
      <c r="BK26" s="1">
        <v>336.15600000000001</v>
      </c>
      <c r="BL26" s="1">
        <v>328.38200000000001</v>
      </c>
      <c r="BM26" s="1">
        <v>329.495</v>
      </c>
      <c r="BN26" s="1">
        <v>329.51400000000001</v>
      </c>
      <c r="BO26" s="1">
        <v>327.13400000000001</v>
      </c>
      <c r="BP26" s="1">
        <v>329.423</v>
      </c>
      <c r="BQ26" s="1">
        <v>331.113</v>
      </c>
      <c r="BR26" s="1">
        <v>330.79899999999998</v>
      </c>
      <c r="BS26" s="1">
        <v>343.18299999999999</v>
      </c>
      <c r="BT26" s="1">
        <v>352.34800000000001</v>
      </c>
      <c r="BU26" s="1">
        <v>356.71699999999998</v>
      </c>
      <c r="BV26" s="1">
        <v>356.92399999999998</v>
      </c>
      <c r="BW26" s="1">
        <v>363.63600000000002</v>
      </c>
      <c r="BX26" s="1">
        <v>361.08</v>
      </c>
      <c r="BY26" s="1">
        <v>365.86099999999999</v>
      </c>
      <c r="BZ26" s="1">
        <v>360.755</v>
      </c>
      <c r="CA26" s="1">
        <v>357.88099999999997</v>
      </c>
      <c r="CB26" s="1">
        <v>352.005</v>
      </c>
      <c r="CC26" s="1">
        <v>349.76499999999999</v>
      </c>
      <c r="CD26" s="1">
        <v>356.35</v>
      </c>
      <c r="CE26" s="1">
        <v>358.464</v>
      </c>
      <c r="CF26" s="1">
        <v>366.87299999999999</v>
      </c>
      <c r="CG26" s="1">
        <v>374.73599999999999</v>
      </c>
      <c r="CH26" s="1">
        <v>385.80799999999999</v>
      </c>
      <c r="CI26" s="1">
        <v>387.89600000000002</v>
      </c>
      <c r="CJ26" s="1">
        <v>389.67500000000001</v>
      </c>
      <c r="CK26" s="1">
        <v>380.53300000000002</v>
      </c>
      <c r="CL26" s="1">
        <v>374.32499999999999</v>
      </c>
      <c r="CM26" s="1">
        <v>380.65800000000002</v>
      </c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t="s">
        <v>45</v>
      </c>
    </row>
    <row r="27" spans="1:264" x14ac:dyDescent="0.25">
      <c r="A27" s="4" t="s">
        <v>24</v>
      </c>
      <c r="B27" t="s">
        <v>34</v>
      </c>
      <c r="C27" t="s">
        <v>37</v>
      </c>
      <c r="D27" t="s">
        <v>43</v>
      </c>
      <c r="F27" t="s">
        <v>39</v>
      </c>
      <c r="G27" s="3">
        <f ca="1">_xll.BDH(A27&amp;" corp",D27,TODAY()-365,TODAY(),"pcs="&amp;B27,"dir=h","dates=h","sort=r","fill=-","cols=256;rows=1")</f>
        <v>173.44200000000001</v>
      </c>
      <c r="H27" s="1">
        <v>177.78299999999999</v>
      </c>
      <c r="I27" s="1">
        <v>178.92099999999999</v>
      </c>
      <c r="J27" s="1">
        <v>170.51900000000001</v>
      </c>
      <c r="K27" s="1">
        <v>167.577</v>
      </c>
      <c r="L27" s="1">
        <v>170.977</v>
      </c>
      <c r="M27" s="1">
        <v>169.511</v>
      </c>
      <c r="N27" s="1">
        <v>169.98400000000001</v>
      </c>
      <c r="O27" s="1">
        <v>168.869</v>
      </c>
      <c r="P27" s="1">
        <v>168.959</v>
      </c>
      <c r="Q27" s="1">
        <v>175.81800000000001</v>
      </c>
      <c r="R27" s="1">
        <v>180.398</v>
      </c>
      <c r="S27" s="1">
        <v>180.33699999999999</v>
      </c>
      <c r="T27" s="1">
        <v>186.55199999999999</v>
      </c>
      <c r="U27" s="1">
        <v>193.44900000000001</v>
      </c>
      <c r="V27" s="1">
        <v>199.26900000000001</v>
      </c>
      <c r="W27" s="1">
        <v>205.77</v>
      </c>
      <c r="X27" s="1">
        <v>204.333</v>
      </c>
      <c r="Y27" s="1">
        <v>194.15100000000001</v>
      </c>
      <c r="Z27" s="1">
        <v>196.18</v>
      </c>
      <c r="AA27" s="1">
        <v>193.53800000000001</v>
      </c>
      <c r="AB27" s="1">
        <v>180.399</v>
      </c>
      <c r="AC27" s="1">
        <v>184.53</v>
      </c>
      <c r="AD27" s="1">
        <v>187.12799999999999</v>
      </c>
      <c r="AE27" s="1">
        <v>190.029</v>
      </c>
      <c r="AF27" s="1">
        <v>191.15700000000001</v>
      </c>
      <c r="AG27" s="1">
        <v>186.85300000000001</v>
      </c>
      <c r="AH27" s="1">
        <v>180.76599999999999</v>
      </c>
      <c r="AI27" s="1">
        <v>181.32400000000001</v>
      </c>
      <c r="AJ27" s="1">
        <v>177.06200000000001</v>
      </c>
      <c r="AK27" s="1">
        <v>176.34299999999999</v>
      </c>
      <c r="AL27" s="1">
        <v>175.32599999999999</v>
      </c>
      <c r="AM27" s="1">
        <v>173.78800000000001</v>
      </c>
      <c r="AN27" s="1">
        <v>173.852</v>
      </c>
      <c r="AO27" s="1">
        <v>177.91900000000001</v>
      </c>
      <c r="AP27" s="1">
        <v>171.58199999999999</v>
      </c>
      <c r="AQ27" s="1">
        <v>178.68799999999999</v>
      </c>
      <c r="AR27" s="1">
        <v>176.88399999999999</v>
      </c>
      <c r="AS27" s="1">
        <v>168.74600000000001</v>
      </c>
      <c r="AT27" s="1">
        <v>169.405</v>
      </c>
      <c r="AU27" s="1">
        <v>172.37200000000001</v>
      </c>
      <c r="AV27" s="1">
        <v>173.11799999999999</v>
      </c>
      <c r="AW27" s="1">
        <v>174.74299999999999</v>
      </c>
      <c r="AX27" s="1">
        <v>179.226</v>
      </c>
      <c r="AY27" s="1">
        <v>171.00299999999999</v>
      </c>
      <c r="AZ27" s="1">
        <v>169.30199999999999</v>
      </c>
      <c r="BA27" s="1">
        <v>162.87100000000001</v>
      </c>
      <c r="BB27" s="1">
        <v>161.583</v>
      </c>
      <c r="BC27" s="1">
        <v>163.535</v>
      </c>
      <c r="BD27" s="1">
        <v>166.77099999999999</v>
      </c>
      <c r="BE27" s="1">
        <v>172.67599999999999</v>
      </c>
      <c r="BF27" s="1">
        <v>174.65899999999999</v>
      </c>
      <c r="BG27" s="1">
        <v>180.73400000000001</v>
      </c>
      <c r="BH27" s="1">
        <v>185.803</v>
      </c>
      <c r="BI27" s="1">
        <v>191.24600000000001</v>
      </c>
      <c r="BJ27" s="1">
        <v>196.209</v>
      </c>
      <c r="BK27" s="1">
        <v>196.238</v>
      </c>
      <c r="BL27" s="1">
        <v>197.72900000000001</v>
      </c>
      <c r="BM27" s="1">
        <v>191.43700000000001</v>
      </c>
      <c r="BN27" s="1">
        <v>189.55500000000001</v>
      </c>
      <c r="BO27" s="1">
        <v>189.83600000000001</v>
      </c>
      <c r="BP27" s="1">
        <v>188.60400000000001</v>
      </c>
      <c r="BQ27" s="1">
        <v>197.60499999999999</v>
      </c>
      <c r="BR27" s="1">
        <v>195.785</v>
      </c>
      <c r="BS27" s="1">
        <v>195.9</v>
      </c>
      <c r="BT27" s="1">
        <v>209.39500000000001</v>
      </c>
      <c r="BU27" s="1">
        <v>233.96600000000001</v>
      </c>
      <c r="BV27" s="1">
        <v>237.636</v>
      </c>
      <c r="BW27" s="1">
        <v>240.08699999999999</v>
      </c>
      <c r="BX27" s="1">
        <v>246.43600000000001</v>
      </c>
      <c r="BY27" s="1">
        <v>248.053</v>
      </c>
      <c r="BZ27" s="1">
        <v>253.93799999999999</v>
      </c>
      <c r="CA27" s="1">
        <v>251.79</v>
      </c>
      <c r="CB27" s="1">
        <v>251.298</v>
      </c>
      <c r="CC27" s="1">
        <v>253.26499999999999</v>
      </c>
      <c r="CD27" s="1">
        <v>252.79900000000001</v>
      </c>
      <c r="CE27" s="1">
        <v>262.803</v>
      </c>
      <c r="CF27" s="1">
        <v>264.64499999999998</v>
      </c>
      <c r="CG27" s="1">
        <v>267.62</v>
      </c>
      <c r="CH27" s="1">
        <v>274.53800000000001</v>
      </c>
      <c r="CI27" s="1">
        <v>279.04399999999998</v>
      </c>
      <c r="CJ27" s="1">
        <v>281.17899999999997</v>
      </c>
      <c r="CK27" s="1">
        <v>284.32600000000002</v>
      </c>
      <c r="CL27" s="1">
        <v>276.85399999999998</v>
      </c>
      <c r="CM27" s="1">
        <v>273.76</v>
      </c>
      <c r="CN27" s="1">
        <v>282.755</v>
      </c>
      <c r="CO27" s="1">
        <v>279.19600000000003</v>
      </c>
      <c r="CP27" s="1">
        <v>281.91199999999998</v>
      </c>
      <c r="CQ27" s="1">
        <v>268.14800000000002</v>
      </c>
      <c r="CR27" s="1">
        <v>259.70600000000002</v>
      </c>
      <c r="CS27" s="1">
        <v>277.85700000000003</v>
      </c>
      <c r="CT27" s="1">
        <v>278.22300000000001</v>
      </c>
      <c r="CU27" s="1">
        <v>273.81299999999999</v>
      </c>
      <c r="CV27" s="1">
        <v>246.001</v>
      </c>
      <c r="CW27" s="1">
        <v>215.18100000000001</v>
      </c>
      <c r="CX27" s="1">
        <v>205.536</v>
      </c>
      <c r="CY27" s="1">
        <v>214.637</v>
      </c>
      <c r="CZ27" s="1">
        <v>233.65799999999999</v>
      </c>
      <c r="DA27" s="1">
        <v>243.27799999999999</v>
      </c>
      <c r="DB27" s="1">
        <v>249.31299999999999</v>
      </c>
      <c r="DC27" s="1">
        <v>249.22900000000001</v>
      </c>
      <c r="DD27" s="1">
        <v>247.131</v>
      </c>
      <c r="DE27" s="1">
        <v>231.941</v>
      </c>
      <c r="DF27" s="1">
        <v>230.66200000000001</v>
      </c>
      <c r="DG27" s="1">
        <v>245.393</v>
      </c>
      <c r="DH27" s="1">
        <v>258.315</v>
      </c>
      <c r="DI27" s="1">
        <v>254.36199999999999</v>
      </c>
      <c r="DJ27" s="1">
        <v>254.16</v>
      </c>
      <c r="DK27" s="1">
        <v>257.202</v>
      </c>
      <c r="DL27" s="1">
        <v>268.80799999999999</v>
      </c>
      <c r="DM27" s="1">
        <v>282.45499999999998</v>
      </c>
      <c r="DN27" s="1">
        <v>286.94</v>
      </c>
      <c r="DO27" s="1">
        <v>287.94400000000002</v>
      </c>
      <c r="DP27" s="1">
        <v>273.10199999999998</v>
      </c>
      <c r="DQ27" s="1">
        <v>268.024</v>
      </c>
      <c r="DR27" s="1">
        <v>268.18200000000002</v>
      </c>
      <c r="DS27" s="1">
        <v>271.55</v>
      </c>
      <c r="DT27" s="1">
        <v>267.90300000000002</v>
      </c>
      <c r="DU27" s="1">
        <v>266.815</v>
      </c>
      <c r="DV27" s="1">
        <v>264.59500000000003</v>
      </c>
      <c r="DW27" s="1">
        <v>264.01499999999999</v>
      </c>
      <c r="DX27" s="1">
        <v>249.631</v>
      </c>
      <c r="DY27" s="1">
        <v>240.43700000000001</v>
      </c>
      <c r="DZ27" s="1">
        <v>227.93899999999999</v>
      </c>
      <c r="EA27" s="1">
        <v>217.44300000000001</v>
      </c>
      <c r="EB27" s="1">
        <v>196.94200000000001</v>
      </c>
      <c r="EC27" s="1">
        <v>208.898</v>
      </c>
      <c r="ED27" s="1">
        <v>210.583</v>
      </c>
      <c r="EE27" s="1">
        <v>220.34399999999999</v>
      </c>
      <c r="EF27" s="1">
        <v>223.63399999999999</v>
      </c>
      <c r="EG27" s="1">
        <v>215.12799999999999</v>
      </c>
      <c r="EH27" s="1">
        <v>214.947</v>
      </c>
      <c r="EI27" s="1">
        <v>206.489</v>
      </c>
      <c r="EJ27" s="1">
        <v>193.828</v>
      </c>
      <c r="EK27" s="1">
        <v>200.72399999999999</v>
      </c>
      <c r="EL27" s="1">
        <v>244.50299999999999</v>
      </c>
      <c r="EM27" s="1">
        <v>277.10199999999998</v>
      </c>
      <c r="EN27" s="1">
        <v>289.55200000000002</v>
      </c>
      <c r="EO27" s="1">
        <v>316.83699999999999</v>
      </c>
      <c r="EP27" s="1">
        <v>322.26</v>
      </c>
      <c r="EQ27" s="1">
        <v>318.96699999999998</v>
      </c>
      <c r="ER27" s="1">
        <v>323.56400000000002</v>
      </c>
      <c r="ES27" s="1">
        <v>347.05099999999999</v>
      </c>
      <c r="ET27" s="1">
        <v>367.589</v>
      </c>
      <c r="EU27" s="1">
        <v>374.71600000000001</v>
      </c>
      <c r="EV27" s="1">
        <v>381.75799999999998</v>
      </c>
      <c r="EW27" s="1">
        <v>389.62200000000001</v>
      </c>
      <c r="EX27" s="1">
        <v>454.45</v>
      </c>
      <c r="EY27" s="1">
        <v>465.95800000000003</v>
      </c>
      <c r="EZ27" s="1">
        <v>441.52600000000001</v>
      </c>
      <c r="FA27" s="1">
        <v>454.28</v>
      </c>
      <c r="FB27" s="1">
        <v>458.54399999999998</v>
      </c>
      <c r="FC27" s="1">
        <v>414.96199999999999</v>
      </c>
      <c r="FD27" s="1">
        <v>383.11799999999999</v>
      </c>
      <c r="FE27" s="1">
        <v>311.84100000000001</v>
      </c>
      <c r="FF27" s="1">
        <v>308.68400000000003</v>
      </c>
      <c r="FG27" s="1">
        <v>254.39599999999999</v>
      </c>
      <c r="FH27" s="1">
        <v>249.41399999999999</v>
      </c>
      <c r="FI27" s="1">
        <v>264.02</v>
      </c>
      <c r="FJ27" s="1">
        <v>198.80600000000001</v>
      </c>
      <c r="FK27" s="1">
        <v>175.64599999999999</v>
      </c>
      <c r="FL27" s="1">
        <v>169.32</v>
      </c>
      <c r="FM27" s="1">
        <v>171.34800000000001</v>
      </c>
      <c r="FN27" s="1">
        <v>192.18199999999999</v>
      </c>
      <c r="FO27" s="1">
        <v>189.66800000000001</v>
      </c>
      <c r="FP27" s="1">
        <v>168.54499999999999</v>
      </c>
      <c r="FQ27" s="1">
        <v>145.38399999999999</v>
      </c>
      <c r="FR27" s="1">
        <v>136.05500000000001</v>
      </c>
      <c r="FS27" s="1">
        <v>130.05199999999999</v>
      </c>
      <c r="FT27" s="1">
        <v>117.105</v>
      </c>
      <c r="FU27" s="1">
        <v>119.20699999999999</v>
      </c>
      <c r="FV27" s="1">
        <v>121.26600000000001</v>
      </c>
      <c r="FW27" s="1">
        <v>123.499</v>
      </c>
      <c r="FX27" s="1">
        <v>122.658</v>
      </c>
      <c r="FY27" s="1">
        <v>124.69199999999999</v>
      </c>
      <c r="FZ27" s="1">
        <v>126.105</v>
      </c>
      <c r="GA27" s="1">
        <v>125.09399999999999</v>
      </c>
      <c r="GB27" s="1">
        <v>128.381</v>
      </c>
      <c r="GC27" s="1">
        <v>128.495</v>
      </c>
      <c r="GD27" s="1">
        <v>125.934</v>
      </c>
      <c r="GE27" s="1">
        <v>123.619</v>
      </c>
      <c r="GF27" s="1">
        <v>125.35</v>
      </c>
      <c r="GG27" s="1">
        <v>127.574</v>
      </c>
      <c r="GH27" s="1">
        <v>133.024</v>
      </c>
      <c r="GI27" s="1">
        <v>133.46600000000001</v>
      </c>
      <c r="GJ27" s="1">
        <v>133.053</v>
      </c>
      <c r="GK27" s="1">
        <v>130.42599999999999</v>
      </c>
      <c r="GL27" s="1">
        <v>131.309</v>
      </c>
      <c r="GM27" s="1">
        <v>133.79599999999999</v>
      </c>
      <c r="GN27" s="1">
        <v>122.794</v>
      </c>
      <c r="GO27" s="1">
        <v>118.544</v>
      </c>
      <c r="GP27" s="1">
        <v>113.21599999999999</v>
      </c>
      <c r="GQ27" s="1">
        <v>114.089</v>
      </c>
      <c r="GR27" s="1">
        <v>112.633</v>
      </c>
      <c r="GS27" s="1">
        <v>113.97199999999999</v>
      </c>
      <c r="GT27" s="1">
        <v>119.715</v>
      </c>
      <c r="GU27" s="1">
        <v>122.831</v>
      </c>
      <c r="GV27" s="1">
        <v>122.98</v>
      </c>
      <c r="GW27" s="1">
        <v>122.818</v>
      </c>
      <c r="GX27" s="1">
        <v>124.06</v>
      </c>
      <c r="GY27" s="1">
        <v>125.133</v>
      </c>
      <c r="GZ27" s="1">
        <v>128.596</v>
      </c>
      <c r="HA27" s="1">
        <v>127.124</v>
      </c>
      <c r="HB27" s="1">
        <v>125.337</v>
      </c>
      <c r="HC27" s="1">
        <v>122.86199999999999</v>
      </c>
      <c r="HD27" s="1">
        <v>121.851</v>
      </c>
      <c r="HE27" s="1">
        <v>117.405</v>
      </c>
      <c r="HF27" s="1">
        <v>118.083</v>
      </c>
      <c r="HG27" s="1">
        <v>120.976</v>
      </c>
      <c r="HH27" s="1">
        <v>118.375</v>
      </c>
      <c r="HI27" s="1">
        <v>120.994</v>
      </c>
      <c r="HJ27" s="1">
        <v>124.041</v>
      </c>
      <c r="HK27" s="1">
        <v>125.15600000000001</v>
      </c>
      <c r="HL27" s="1">
        <v>124.524</v>
      </c>
      <c r="HM27" s="1">
        <v>127.032</v>
      </c>
      <c r="HN27" s="1">
        <v>128.73400000000001</v>
      </c>
      <c r="HO27" s="1">
        <v>129.773</v>
      </c>
      <c r="HP27" s="1">
        <v>136.12100000000001</v>
      </c>
      <c r="HQ27" s="1">
        <v>137.76900000000001</v>
      </c>
      <c r="HR27" s="1">
        <v>136.25200000000001</v>
      </c>
      <c r="HS27" s="1">
        <v>136.18700000000001</v>
      </c>
      <c r="HT27" s="1">
        <v>137.97499999999999</v>
      </c>
      <c r="HU27" s="1">
        <v>139.35599999999999</v>
      </c>
      <c r="HV27" s="1">
        <v>142.61199999999999</v>
      </c>
      <c r="HW27" s="1">
        <v>144.20699999999999</v>
      </c>
      <c r="HX27" s="1">
        <v>141.001</v>
      </c>
      <c r="HY27" s="1">
        <v>144.047</v>
      </c>
      <c r="HZ27" s="1">
        <v>146.202</v>
      </c>
      <c r="IA27" s="1">
        <v>144.12200000000001</v>
      </c>
      <c r="IB27" s="1">
        <v>144.11600000000001</v>
      </c>
      <c r="IC27" s="1">
        <v>148.79599999999999</v>
      </c>
      <c r="ID27" s="1">
        <v>152.83799999999999</v>
      </c>
      <c r="IE27" s="1">
        <v>152.80699999999999</v>
      </c>
      <c r="IF27" s="1">
        <v>149.005</v>
      </c>
      <c r="IG27" s="1">
        <v>142.70400000000001</v>
      </c>
      <c r="IH27" s="1">
        <v>140.096</v>
      </c>
      <c r="II27" s="1">
        <v>139.149</v>
      </c>
      <c r="IJ27" s="1">
        <v>138.67500000000001</v>
      </c>
      <c r="IK27" s="1">
        <v>135.251</v>
      </c>
      <c r="IL27" s="1">
        <v>134.05099999999999</v>
      </c>
      <c r="IM27" s="1">
        <v>132.71299999999999</v>
      </c>
      <c r="IN27" s="1">
        <v>129.44399999999999</v>
      </c>
      <c r="IO27" s="1">
        <v>123.86</v>
      </c>
      <c r="IP27" s="1">
        <v>124.717</v>
      </c>
      <c r="IQ27" s="1">
        <v>124.065</v>
      </c>
      <c r="IR27" s="1">
        <v>129.07900000000001</v>
      </c>
      <c r="IS27" s="1">
        <v>132.46600000000001</v>
      </c>
      <c r="IT27" s="1">
        <v>133.38999999999999</v>
      </c>
      <c r="IU27" s="1">
        <v>129.11199999999999</v>
      </c>
      <c r="IV27" s="1">
        <v>127.54300000000001</v>
      </c>
      <c r="IW27" s="1">
        <v>122.197</v>
      </c>
      <c r="IX27" s="1">
        <v>123.133</v>
      </c>
      <c r="IY27" s="1">
        <v>125.593</v>
      </c>
      <c r="IZ27" s="1">
        <v>128.26599999999999</v>
      </c>
      <c r="JA27" s="1">
        <v>127.57599999999999</v>
      </c>
      <c r="JB27" s="1">
        <v>127.66500000000001</v>
      </c>
      <c r="JC27" s="1"/>
      <c r="JD27" t="s">
        <v>45</v>
      </c>
    </row>
    <row r="28" spans="1:264" x14ac:dyDescent="0.25">
      <c r="A28" s="4" t="s">
        <v>25</v>
      </c>
      <c r="B28" t="s">
        <v>34</v>
      </c>
      <c r="C28" t="s">
        <v>37</v>
      </c>
      <c r="D28" t="s">
        <v>43</v>
      </c>
      <c r="F28" t="s">
        <v>39</v>
      </c>
      <c r="G28" s="3">
        <f ca="1">_xll.BDH(A28&amp;" corp",D28,TODAY()-365,TODAY(),"pcs="&amp;B28,"dir=h","dates=h","sort=r","fill=-","cols=92;rows=1")</f>
        <v>402.39100000000002</v>
      </c>
      <c r="H28" s="1">
        <v>407.39400000000001</v>
      </c>
      <c r="I28" s="1">
        <v>413.97899999999998</v>
      </c>
      <c r="J28" s="1">
        <v>402.613</v>
      </c>
      <c r="K28" s="1">
        <v>397.60500000000002</v>
      </c>
      <c r="L28" s="1">
        <v>394.995</v>
      </c>
      <c r="M28" s="1">
        <v>394.01799999999997</v>
      </c>
      <c r="N28" s="1">
        <v>390.34800000000001</v>
      </c>
      <c r="O28" s="1">
        <v>379.61799999999999</v>
      </c>
      <c r="P28" s="1">
        <v>379.69299999999998</v>
      </c>
      <c r="Q28" s="1">
        <v>387.71199999999999</v>
      </c>
      <c r="R28" s="1">
        <v>396.24200000000002</v>
      </c>
      <c r="S28" s="1">
        <v>397.83699999999999</v>
      </c>
      <c r="T28" s="1">
        <v>405.49099999999999</v>
      </c>
      <c r="U28" s="1">
        <v>414.78699999999998</v>
      </c>
      <c r="V28" s="1">
        <v>420.09899999999999</v>
      </c>
      <c r="W28" s="1">
        <v>428.608</v>
      </c>
      <c r="X28" s="1">
        <v>415.20800000000003</v>
      </c>
      <c r="Y28" s="1">
        <v>401.79399999999998</v>
      </c>
      <c r="Z28" s="1">
        <v>402.40600000000001</v>
      </c>
      <c r="AA28" s="1">
        <v>402.19</v>
      </c>
      <c r="AB28" s="1">
        <v>382.83199999999999</v>
      </c>
      <c r="AC28" s="1">
        <v>383.81599999999997</v>
      </c>
      <c r="AD28" s="1">
        <v>383.21499999999997</v>
      </c>
      <c r="AE28" s="1">
        <v>389.36799999999999</v>
      </c>
      <c r="AF28" s="1">
        <v>392.70800000000003</v>
      </c>
      <c r="AG28" s="1">
        <v>393.47399999999999</v>
      </c>
      <c r="AH28" s="1">
        <v>387.77600000000001</v>
      </c>
      <c r="AI28" s="1">
        <v>391.60599999999999</v>
      </c>
      <c r="AJ28" s="1">
        <v>392.41</v>
      </c>
      <c r="AK28" s="1">
        <v>386.41300000000001</v>
      </c>
      <c r="AL28" s="1">
        <v>385.87799999999999</v>
      </c>
      <c r="AM28" s="1">
        <v>383.19900000000001</v>
      </c>
      <c r="AN28" s="1">
        <v>380.53399999999999</v>
      </c>
      <c r="AO28" s="1">
        <v>385.78899999999999</v>
      </c>
      <c r="AP28" s="1">
        <v>388.25200000000001</v>
      </c>
      <c r="AQ28" s="1">
        <v>387.24799999999999</v>
      </c>
      <c r="AR28" s="1">
        <v>386.565</v>
      </c>
      <c r="AS28" s="1">
        <v>382.274</v>
      </c>
      <c r="AT28" s="1">
        <v>373.30200000000002</v>
      </c>
      <c r="AU28" s="1">
        <v>382.81299999999999</v>
      </c>
      <c r="AV28" s="1">
        <v>395.637</v>
      </c>
      <c r="AW28" s="1">
        <v>402.09</v>
      </c>
      <c r="AX28" s="1">
        <v>400.03699999999998</v>
      </c>
      <c r="AY28" s="1">
        <v>401.93099999999998</v>
      </c>
      <c r="AZ28" s="1">
        <v>400.892</v>
      </c>
      <c r="BA28" s="1">
        <v>389.46100000000001</v>
      </c>
      <c r="BB28" s="1">
        <v>381.09899999999999</v>
      </c>
      <c r="BC28" s="1">
        <v>378.90699999999998</v>
      </c>
      <c r="BD28" s="1">
        <v>381.41199999999998</v>
      </c>
      <c r="BE28" s="1">
        <v>393.94099999999997</v>
      </c>
      <c r="BF28" s="1">
        <v>399.16199999999998</v>
      </c>
      <c r="BG28" s="1">
        <v>408.714</v>
      </c>
      <c r="BH28" s="1">
        <v>411.09100000000001</v>
      </c>
      <c r="BI28" s="1">
        <v>422.84899999999999</v>
      </c>
      <c r="BJ28" s="1">
        <v>429.59199999999998</v>
      </c>
      <c r="BK28" s="1">
        <v>427.94799999999998</v>
      </c>
      <c r="BL28" s="1">
        <v>425.9</v>
      </c>
      <c r="BM28" s="1">
        <v>410.93599999999998</v>
      </c>
      <c r="BN28" s="1">
        <v>406.75599999999997</v>
      </c>
      <c r="BO28" s="1">
        <v>399.28800000000001</v>
      </c>
      <c r="BP28" s="1">
        <v>395.22899999999998</v>
      </c>
      <c r="BQ28" s="1">
        <v>393.85899999999998</v>
      </c>
      <c r="BR28" s="1">
        <v>396.29700000000003</v>
      </c>
      <c r="BS28" s="1">
        <v>390.34500000000003</v>
      </c>
      <c r="BT28" s="1">
        <v>406.46499999999997</v>
      </c>
      <c r="BU28" s="1">
        <v>414.46899999999999</v>
      </c>
      <c r="BV28" s="1">
        <v>420.8</v>
      </c>
      <c r="BW28" s="1">
        <v>420.55</v>
      </c>
      <c r="BX28" s="1">
        <v>424.45</v>
      </c>
      <c r="BY28" s="1">
        <v>422.423</v>
      </c>
      <c r="BZ28" s="1">
        <v>427.43599999999998</v>
      </c>
      <c r="CA28" s="1">
        <v>423.02199999999999</v>
      </c>
      <c r="CB28" s="1">
        <v>422.339</v>
      </c>
      <c r="CC28" s="1">
        <v>420.83499999999998</v>
      </c>
      <c r="CD28" s="1">
        <v>421.21199999999999</v>
      </c>
      <c r="CE28" s="1">
        <v>424.55099999999999</v>
      </c>
      <c r="CF28" s="1">
        <v>424.31900000000002</v>
      </c>
      <c r="CG28" s="1">
        <v>423.04599999999999</v>
      </c>
      <c r="CH28" s="1">
        <v>428.91399999999999</v>
      </c>
      <c r="CI28" s="1">
        <v>437.43</v>
      </c>
      <c r="CJ28" s="1">
        <v>440.23</v>
      </c>
      <c r="CK28" s="1">
        <v>439.00799999999998</v>
      </c>
      <c r="CL28" s="1">
        <v>436.577</v>
      </c>
      <c r="CM28" s="1">
        <v>430.80700000000002</v>
      </c>
      <c r="CN28" s="1">
        <v>442.88400000000001</v>
      </c>
      <c r="CO28" s="1">
        <v>429.81</v>
      </c>
      <c r="CP28" s="1">
        <v>431.53199999999998</v>
      </c>
      <c r="CQ28" s="1">
        <v>414.85700000000003</v>
      </c>
      <c r="CR28" s="1">
        <v>406.62400000000002</v>
      </c>
      <c r="CS28" s="1">
        <v>411.26499999999999</v>
      </c>
      <c r="CT28" s="1">
        <v>405.976</v>
      </c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t="s">
        <v>45</v>
      </c>
    </row>
    <row r="29" spans="1:264" x14ac:dyDescent="0.25">
      <c r="A29" s="4" t="s">
        <v>26</v>
      </c>
      <c r="B29" t="s">
        <v>34</v>
      </c>
      <c r="C29" t="s">
        <v>37</v>
      </c>
      <c r="D29" t="s">
        <v>43</v>
      </c>
      <c r="F29" t="s">
        <v>39</v>
      </c>
      <c r="G29" s="3">
        <f ca="1">_xll.BDH(A29&amp;" corp",D29,TODAY()-365,TODAY(),"pcs="&amp;B29,"dir=h","dates=h","sort=r","fill=-","cols=255;rows=1")</f>
        <v>350.202</v>
      </c>
      <c r="H29" s="1">
        <v>353.18</v>
      </c>
      <c r="I29" s="1">
        <v>354.91</v>
      </c>
      <c r="J29" s="1">
        <v>348.08300000000003</v>
      </c>
      <c r="K29" s="1">
        <v>345.84800000000001</v>
      </c>
      <c r="L29" s="1">
        <v>344.339</v>
      </c>
      <c r="M29" s="1">
        <v>344.20299999999997</v>
      </c>
      <c r="N29" s="1">
        <v>342.01299999999998</v>
      </c>
      <c r="O29" s="1">
        <v>338.529</v>
      </c>
      <c r="P29" s="1">
        <v>338.17599999999999</v>
      </c>
      <c r="Q29" s="1">
        <v>341.63799999999998</v>
      </c>
      <c r="R29" s="1">
        <v>347.31299999999999</v>
      </c>
      <c r="S29" s="1">
        <v>349.089</v>
      </c>
      <c r="T29" s="1">
        <v>351.774</v>
      </c>
      <c r="U29" s="1">
        <v>356.06400000000002</v>
      </c>
      <c r="V29" s="1">
        <v>356.96499999999997</v>
      </c>
      <c r="W29" s="1">
        <v>357.61500000000001</v>
      </c>
      <c r="X29" s="1">
        <v>351.05399999999997</v>
      </c>
      <c r="Y29" s="1">
        <v>342.27600000000001</v>
      </c>
      <c r="Z29" s="1">
        <v>342.98700000000002</v>
      </c>
      <c r="AA29" s="1">
        <v>337.88499999999999</v>
      </c>
      <c r="AB29" s="1">
        <v>326.55799999999999</v>
      </c>
      <c r="AC29" s="1">
        <v>328.94299999999998</v>
      </c>
      <c r="AD29" s="1">
        <v>328.65100000000001</v>
      </c>
      <c r="AE29" s="1">
        <v>330.46100000000001</v>
      </c>
      <c r="AF29" s="1">
        <v>332.81400000000002</v>
      </c>
      <c r="AG29" s="1">
        <v>332.10300000000001</v>
      </c>
      <c r="AH29" s="1">
        <v>325.85000000000002</v>
      </c>
      <c r="AI29" s="1">
        <v>328.09300000000002</v>
      </c>
      <c r="AJ29" s="1">
        <v>328.8</v>
      </c>
      <c r="AK29" s="1">
        <v>325.786</v>
      </c>
      <c r="AL29" s="1">
        <v>325.89</v>
      </c>
      <c r="AM29" s="1">
        <v>325.411</v>
      </c>
      <c r="AN29" s="1">
        <v>325.04500000000002</v>
      </c>
      <c r="AO29" s="1">
        <v>323.85500000000002</v>
      </c>
      <c r="AP29" s="1">
        <v>320.298</v>
      </c>
      <c r="AQ29" s="1">
        <v>322.21899999999999</v>
      </c>
      <c r="AR29" s="1">
        <v>321.43599999999998</v>
      </c>
      <c r="AS29" s="1">
        <v>322.024</v>
      </c>
      <c r="AT29" s="1">
        <v>324</v>
      </c>
      <c r="AU29" s="1">
        <v>330.00200000000001</v>
      </c>
      <c r="AV29" s="1">
        <v>333.36900000000003</v>
      </c>
      <c r="AW29" s="1">
        <v>333.78399999999999</v>
      </c>
      <c r="AX29" s="1">
        <v>330.97199999999998</v>
      </c>
      <c r="AY29" s="1">
        <v>328.97699999999998</v>
      </c>
      <c r="AZ29" s="1">
        <v>326.24</v>
      </c>
      <c r="BA29" s="1">
        <v>320.38</v>
      </c>
      <c r="BB29" s="1">
        <v>317.30099999999999</v>
      </c>
      <c r="BC29" s="1">
        <v>321.05</v>
      </c>
      <c r="BD29" s="1">
        <v>326.61799999999999</v>
      </c>
      <c r="BE29" s="1">
        <v>337.44900000000001</v>
      </c>
      <c r="BF29" s="1">
        <v>338.70400000000001</v>
      </c>
      <c r="BG29" s="1">
        <v>347.11799999999999</v>
      </c>
      <c r="BH29" s="1">
        <v>347.11900000000003</v>
      </c>
      <c r="BI29" s="1">
        <v>351.25</v>
      </c>
      <c r="BJ29" s="1">
        <v>352.99599999999998</v>
      </c>
      <c r="BK29" s="1">
        <v>351.68</v>
      </c>
      <c r="BL29" s="1">
        <v>349.9</v>
      </c>
      <c r="BM29" s="1">
        <v>339.815</v>
      </c>
      <c r="BN29" s="1">
        <v>337.55700000000002</v>
      </c>
      <c r="BO29" s="1">
        <v>335.00400000000002</v>
      </c>
      <c r="BP29" s="1">
        <v>330.46899999999999</v>
      </c>
      <c r="BQ29" s="1">
        <v>332.57100000000003</v>
      </c>
      <c r="BR29" s="1">
        <v>335.58199999999999</v>
      </c>
      <c r="BS29" s="1">
        <v>333.05200000000002</v>
      </c>
      <c r="BT29" s="1">
        <v>350.03</v>
      </c>
      <c r="BU29" s="1">
        <v>363.899</v>
      </c>
      <c r="BV29" s="1">
        <v>366.488</v>
      </c>
      <c r="BW29" s="1">
        <v>366.01600000000002</v>
      </c>
      <c r="BX29" s="1">
        <v>370.17700000000002</v>
      </c>
      <c r="BY29" s="1">
        <v>370.995</v>
      </c>
      <c r="BZ29" s="1">
        <v>376.38400000000001</v>
      </c>
      <c r="CA29" s="1">
        <v>374.23</v>
      </c>
      <c r="CB29" s="1">
        <v>370.24900000000002</v>
      </c>
      <c r="CC29" s="1">
        <v>368.95499999999998</v>
      </c>
      <c r="CD29" s="1">
        <v>371.95400000000001</v>
      </c>
      <c r="CE29" s="1">
        <v>376.726</v>
      </c>
      <c r="CF29" s="1">
        <v>378.935</v>
      </c>
      <c r="CG29" s="1">
        <v>382.548</v>
      </c>
      <c r="CH29" s="1">
        <v>392.07100000000003</v>
      </c>
      <c r="CI29" s="1">
        <v>394.31200000000001</v>
      </c>
      <c r="CJ29" s="1">
        <v>394.93099999999998</v>
      </c>
      <c r="CK29" s="1">
        <v>394.45699999999999</v>
      </c>
      <c r="CL29" s="1">
        <v>393.07499999999999</v>
      </c>
      <c r="CM29" s="1">
        <v>391.38200000000001</v>
      </c>
      <c r="CN29" s="1">
        <v>394.61099999999999</v>
      </c>
      <c r="CO29" s="1">
        <v>388.77699999999999</v>
      </c>
      <c r="CP29" s="1">
        <v>388.839</v>
      </c>
      <c r="CQ29" s="1">
        <v>379.64699999999999</v>
      </c>
      <c r="CR29" s="1">
        <v>370.79199999999997</v>
      </c>
      <c r="CS29" s="1">
        <v>388.82600000000002</v>
      </c>
      <c r="CT29" s="1">
        <v>384.41800000000001</v>
      </c>
      <c r="CU29" s="1">
        <v>384.79899999999998</v>
      </c>
      <c r="CV29" s="1">
        <v>362.74099999999999</v>
      </c>
      <c r="CW29" s="1">
        <v>344.73399999999998</v>
      </c>
      <c r="CX29" s="1">
        <v>330.86799999999999</v>
      </c>
      <c r="CY29" s="1">
        <v>337.22300000000001</v>
      </c>
      <c r="CZ29" s="1">
        <v>372.57499999999999</v>
      </c>
      <c r="DA29" s="1">
        <v>382.08800000000002</v>
      </c>
      <c r="DB29" s="1">
        <v>391.72800000000001</v>
      </c>
      <c r="DC29" s="1">
        <v>395.08499999999998</v>
      </c>
      <c r="DD29" s="1">
        <v>396.517</v>
      </c>
      <c r="DE29" s="1">
        <v>392.36900000000003</v>
      </c>
      <c r="DF29" s="1">
        <v>393.04500000000002</v>
      </c>
      <c r="DG29" s="1">
        <v>448.49099999999999</v>
      </c>
      <c r="DH29" s="1">
        <v>465.71499999999997</v>
      </c>
      <c r="DI29" s="1">
        <v>467.91800000000001</v>
      </c>
      <c r="DJ29" s="1">
        <v>474.01299999999998</v>
      </c>
      <c r="DK29" s="1">
        <v>480.11900000000003</v>
      </c>
      <c r="DL29" s="1">
        <v>496.22399999999999</v>
      </c>
      <c r="DM29" s="1">
        <v>502.75299999999999</v>
      </c>
      <c r="DN29" s="1">
        <v>503.959</v>
      </c>
      <c r="DO29" s="1">
        <v>490.06599999999997</v>
      </c>
      <c r="DP29" s="1">
        <v>482.09199999999998</v>
      </c>
      <c r="DQ29" s="1">
        <v>479.25700000000001</v>
      </c>
      <c r="DR29" s="1">
        <v>469.904</v>
      </c>
      <c r="DS29" s="1">
        <v>482.072</v>
      </c>
      <c r="DT29" s="1">
        <v>485.024</v>
      </c>
      <c r="DU29" s="1">
        <v>502.28300000000002</v>
      </c>
      <c r="DV29" s="1">
        <v>513.83199999999999</v>
      </c>
      <c r="DW29" s="1">
        <v>507.98500000000001</v>
      </c>
      <c r="DX29" s="1">
        <v>510.995</v>
      </c>
      <c r="DY29" s="1">
        <v>502.577</v>
      </c>
      <c r="DZ29" s="1">
        <v>491.36200000000002</v>
      </c>
      <c r="EA29" s="1">
        <v>487.35899999999998</v>
      </c>
      <c r="EB29" s="1">
        <v>501.95600000000002</v>
      </c>
      <c r="EC29" s="1">
        <v>505.20699999999999</v>
      </c>
      <c r="ED29" s="1">
        <v>506.642</v>
      </c>
      <c r="EE29" s="1">
        <v>503.375</v>
      </c>
      <c r="EF29" s="1">
        <v>489.161</v>
      </c>
      <c r="EG29" s="1">
        <v>489.73399999999998</v>
      </c>
      <c r="EH29" s="1">
        <v>490.70699999999999</v>
      </c>
      <c r="EI29" s="1">
        <v>479.94499999999999</v>
      </c>
      <c r="EJ29" s="1">
        <v>476.82400000000001</v>
      </c>
      <c r="EK29" s="1">
        <v>494.93700000000001</v>
      </c>
      <c r="EL29" s="1">
        <v>523.101</v>
      </c>
      <c r="EM29" s="1">
        <v>531.80200000000002</v>
      </c>
      <c r="EN29" s="1">
        <v>541.97400000000005</v>
      </c>
      <c r="EO29" s="1">
        <v>544.77599999999995</v>
      </c>
      <c r="EP29" s="1">
        <v>544</v>
      </c>
      <c r="EQ29" s="1">
        <v>542.75800000000004</v>
      </c>
      <c r="ER29" s="1">
        <v>545.40800000000002</v>
      </c>
      <c r="ES29" s="1">
        <v>550.202</v>
      </c>
      <c r="ET29" s="1">
        <v>547.98800000000006</v>
      </c>
      <c r="EU29" s="1">
        <v>552.06799999999998</v>
      </c>
      <c r="EV29" s="1">
        <v>560.62199999999996</v>
      </c>
      <c r="EW29" s="1">
        <v>614.39599999999996</v>
      </c>
      <c r="EX29" s="1">
        <v>621.47</v>
      </c>
      <c r="EY29" s="1">
        <v>603.77300000000002</v>
      </c>
      <c r="EZ29" s="1">
        <v>602.48</v>
      </c>
      <c r="FA29" s="1">
        <v>593.56299999999999</v>
      </c>
      <c r="FB29" s="1">
        <v>541.56700000000001</v>
      </c>
      <c r="FC29" s="1">
        <v>505.68200000000002</v>
      </c>
      <c r="FD29" s="1">
        <v>447.71100000000001</v>
      </c>
      <c r="FE29" s="1">
        <v>453.37700000000001</v>
      </c>
      <c r="FF29" s="1">
        <v>409.02600000000001</v>
      </c>
      <c r="FG29" s="1">
        <v>409.08800000000002</v>
      </c>
      <c r="FH29" s="1">
        <v>429.39299999999997</v>
      </c>
      <c r="FI29" s="1">
        <v>376.93599999999998</v>
      </c>
      <c r="FJ29" s="1">
        <v>348.69799999999998</v>
      </c>
      <c r="FK29" s="1">
        <v>340.54599999999999</v>
      </c>
      <c r="FL29" s="1">
        <v>346.71600000000001</v>
      </c>
      <c r="FM29" s="1">
        <v>364.81900000000002</v>
      </c>
      <c r="FN29" s="1">
        <v>364.34</v>
      </c>
      <c r="FO29" s="1">
        <v>338.47</v>
      </c>
      <c r="FP29" s="1">
        <v>321.91899999999998</v>
      </c>
      <c r="FQ29" s="1">
        <v>318.89100000000002</v>
      </c>
      <c r="FR29" s="1">
        <v>312.899</v>
      </c>
      <c r="FS29" s="1">
        <v>288.89600000000002</v>
      </c>
      <c r="FT29" s="1">
        <v>290.358</v>
      </c>
      <c r="FU29" s="1">
        <v>289.613</v>
      </c>
      <c r="FV29" s="1">
        <v>290.35399999999998</v>
      </c>
      <c r="FW29" s="1">
        <v>284.39800000000002</v>
      </c>
      <c r="FX29" s="1">
        <v>284.87</v>
      </c>
      <c r="FY29" s="1">
        <v>283.50299999999999</v>
      </c>
      <c r="FZ29" s="1">
        <v>280.86200000000002</v>
      </c>
      <c r="GA29" s="1">
        <v>283.529</v>
      </c>
      <c r="GB29" s="1">
        <v>286.71800000000002</v>
      </c>
      <c r="GC29" s="1">
        <v>281.68599999999998</v>
      </c>
      <c r="GD29" s="1">
        <v>278.887</v>
      </c>
      <c r="GE29" s="1">
        <v>281.40199999999999</v>
      </c>
      <c r="GF29" s="1">
        <v>295.47399999999999</v>
      </c>
      <c r="GG29" s="1">
        <v>302.20699999999999</v>
      </c>
      <c r="GH29" s="1">
        <v>299.58999999999997</v>
      </c>
      <c r="GI29" s="1">
        <v>293.83300000000003</v>
      </c>
      <c r="GJ29" s="1">
        <v>282.245</v>
      </c>
      <c r="GK29" s="1">
        <v>282.55399999999997</v>
      </c>
      <c r="GL29" s="1">
        <v>296.93299999999999</v>
      </c>
      <c r="GM29" s="1">
        <v>278.20699999999999</v>
      </c>
      <c r="GN29" s="1">
        <v>270.81</v>
      </c>
      <c r="GO29" s="1">
        <v>251.98</v>
      </c>
      <c r="GP29" s="1">
        <v>252.429</v>
      </c>
      <c r="GQ29" s="1">
        <v>251.297</v>
      </c>
      <c r="GR29" s="1">
        <v>262.113</v>
      </c>
      <c r="GS29" s="1">
        <v>267.91699999999997</v>
      </c>
      <c r="GT29" s="1">
        <v>275.596</v>
      </c>
      <c r="GU29" s="1">
        <v>277.76900000000001</v>
      </c>
      <c r="GV29" s="1">
        <v>279.13</v>
      </c>
      <c r="GW29" s="1">
        <v>284.14499999999998</v>
      </c>
      <c r="GX29" s="1">
        <v>283.23500000000001</v>
      </c>
      <c r="GY29" s="1">
        <v>289.79000000000002</v>
      </c>
      <c r="GZ29" s="1">
        <v>291.863</v>
      </c>
      <c r="HA29" s="1">
        <v>292.85899999999998</v>
      </c>
      <c r="HB29" s="1">
        <v>292.73500000000001</v>
      </c>
      <c r="HC29" s="1">
        <v>288.08199999999999</v>
      </c>
      <c r="HD29" s="1">
        <v>287.38900000000001</v>
      </c>
      <c r="HE29" s="1">
        <v>286.51400000000001</v>
      </c>
      <c r="HF29" s="1">
        <v>291.3</v>
      </c>
      <c r="HG29" s="1">
        <v>290.49</v>
      </c>
      <c r="HH29" s="1">
        <v>290.447</v>
      </c>
      <c r="HI29" s="1">
        <v>294.86399999999998</v>
      </c>
      <c r="HJ29" s="1">
        <v>295.15199999999999</v>
      </c>
      <c r="HK29" s="1">
        <v>298.78899999999999</v>
      </c>
      <c r="HL29" s="1">
        <v>302.99900000000002</v>
      </c>
      <c r="HM29" s="1">
        <v>305.358</v>
      </c>
      <c r="HN29" s="1">
        <v>309.24700000000001</v>
      </c>
      <c r="HO29" s="1">
        <v>316.25599999999997</v>
      </c>
      <c r="HP29" s="1">
        <v>319.83100000000002</v>
      </c>
      <c r="HQ29" s="1">
        <v>317.75200000000001</v>
      </c>
      <c r="HR29" s="1">
        <v>319.70100000000002</v>
      </c>
      <c r="HS29" s="1">
        <v>321.03399999999999</v>
      </c>
      <c r="HT29" s="1">
        <v>326.00799999999998</v>
      </c>
      <c r="HU29" s="1">
        <v>331.65600000000001</v>
      </c>
      <c r="HV29" s="1">
        <v>336.70499999999998</v>
      </c>
      <c r="HW29" s="1">
        <v>329.22399999999999</v>
      </c>
      <c r="HX29" s="1">
        <v>335.47300000000001</v>
      </c>
      <c r="HY29" s="1">
        <v>337.05700000000002</v>
      </c>
      <c r="HZ29" s="1">
        <v>336.83199999999999</v>
      </c>
      <c r="IA29" s="1">
        <v>335.64100000000002</v>
      </c>
      <c r="IB29" s="1">
        <v>342.15</v>
      </c>
      <c r="IC29" s="1">
        <v>348.78399999999999</v>
      </c>
      <c r="ID29" s="1">
        <v>349.27199999999999</v>
      </c>
      <c r="IE29" s="1">
        <v>351.416</v>
      </c>
      <c r="IF29" s="1">
        <v>348.21</v>
      </c>
      <c r="IG29" s="1">
        <v>346.55700000000002</v>
      </c>
      <c r="IH29" s="1">
        <v>345.97</v>
      </c>
      <c r="II29" s="1">
        <v>345.91399999999999</v>
      </c>
      <c r="IJ29" s="1">
        <v>341.77800000000002</v>
      </c>
      <c r="IK29" s="1">
        <v>338.13400000000001</v>
      </c>
      <c r="IL29" s="1">
        <v>344.50700000000001</v>
      </c>
      <c r="IM29" s="1">
        <v>342.38</v>
      </c>
      <c r="IN29" s="1">
        <v>335.35899999999998</v>
      </c>
      <c r="IO29" s="1">
        <v>336.87799999999999</v>
      </c>
      <c r="IP29" s="1">
        <v>332.04199999999997</v>
      </c>
      <c r="IQ29" s="1">
        <v>339.98</v>
      </c>
      <c r="IR29" s="1">
        <v>349.50700000000001</v>
      </c>
      <c r="IS29" s="1">
        <v>352.50900000000001</v>
      </c>
      <c r="IT29" s="1">
        <v>347.96899999999999</v>
      </c>
      <c r="IU29" s="1">
        <v>345.97300000000001</v>
      </c>
      <c r="IV29" s="1">
        <v>340.59</v>
      </c>
      <c r="IW29" s="1">
        <v>343.09100000000001</v>
      </c>
      <c r="IX29" s="1">
        <v>349.94200000000001</v>
      </c>
      <c r="IY29" s="1">
        <v>354.93700000000001</v>
      </c>
      <c r="IZ29" s="1">
        <v>356.07799999999997</v>
      </c>
      <c r="JA29" s="1">
        <v>356.60399999999998</v>
      </c>
      <c r="JB29" s="1"/>
      <c r="JC29" s="1"/>
      <c r="JD29" t="s">
        <v>45</v>
      </c>
    </row>
    <row r="30" spans="1:264" x14ac:dyDescent="0.25">
      <c r="A30" s="4" t="s">
        <v>27</v>
      </c>
      <c r="B30" t="s">
        <v>34</v>
      </c>
      <c r="C30" t="s">
        <v>37</v>
      </c>
      <c r="D30" t="s">
        <v>43</v>
      </c>
      <c r="F30" t="s">
        <v>39</v>
      </c>
      <c r="G30" s="3">
        <f ca="1">_xll.BDH(A30&amp;" corp",D30,TODAY()-365,TODAY(),"pcs="&amp;B30,"dir=h","dates=h","sort=r","fill=-","cols=256;rows=1")</f>
        <v>364.41800000000001</v>
      </c>
      <c r="H30" s="1">
        <v>369.50700000000001</v>
      </c>
      <c r="I30" s="1">
        <v>371.173</v>
      </c>
      <c r="J30" s="1">
        <v>361.10899999999998</v>
      </c>
      <c r="K30" s="1">
        <v>357.58300000000003</v>
      </c>
      <c r="L30" s="1">
        <v>355.71699999999998</v>
      </c>
      <c r="M30" s="1">
        <v>356.23899999999998</v>
      </c>
      <c r="N30" s="1">
        <v>353.23899999999998</v>
      </c>
      <c r="O30" s="1">
        <v>349.47800000000001</v>
      </c>
      <c r="P30" s="1">
        <v>351.70299999999997</v>
      </c>
      <c r="Q30" s="1">
        <v>366.827</v>
      </c>
      <c r="R30" s="1">
        <v>375.36599999999999</v>
      </c>
      <c r="S30" s="1">
        <v>375.12900000000002</v>
      </c>
      <c r="T30" s="1">
        <v>379.46</v>
      </c>
      <c r="U30" s="1">
        <v>385.166</v>
      </c>
      <c r="V30" s="1">
        <v>389.24599999999998</v>
      </c>
      <c r="W30" s="1">
        <v>393.524</v>
      </c>
      <c r="X30" s="1">
        <v>386.06</v>
      </c>
      <c r="Y30" s="1">
        <v>373.61599999999999</v>
      </c>
      <c r="Z30" s="1">
        <v>378.952</v>
      </c>
      <c r="AA30" s="1">
        <v>380.69099999999997</v>
      </c>
      <c r="AB30" s="1">
        <v>361.327</v>
      </c>
      <c r="AC30" s="1">
        <v>364.40800000000002</v>
      </c>
      <c r="AD30" s="1">
        <v>367.14299999999997</v>
      </c>
      <c r="AE30" s="1">
        <v>378.077</v>
      </c>
      <c r="AF30" s="1">
        <v>380.71300000000002</v>
      </c>
      <c r="AG30" s="1">
        <v>377.39800000000002</v>
      </c>
      <c r="AH30" s="1">
        <v>371.77600000000001</v>
      </c>
      <c r="AI30" s="1">
        <v>374.303</v>
      </c>
      <c r="AJ30" s="1">
        <v>372.5</v>
      </c>
      <c r="AK30" s="1">
        <v>368.98099999999999</v>
      </c>
      <c r="AL30" s="1">
        <v>370.09</v>
      </c>
      <c r="AM30" s="1">
        <v>369.13299999999998</v>
      </c>
      <c r="AN30" s="1">
        <v>369.15199999999999</v>
      </c>
      <c r="AO30" s="1">
        <v>370.44</v>
      </c>
      <c r="AP30" s="1">
        <v>369.39699999999999</v>
      </c>
      <c r="AQ30" s="1">
        <v>368.81799999999998</v>
      </c>
      <c r="AR30" s="1">
        <v>367.08699999999999</v>
      </c>
      <c r="AS30" s="1">
        <v>363.64800000000002</v>
      </c>
      <c r="AT30" s="1">
        <v>363.96600000000001</v>
      </c>
      <c r="AU30" s="1">
        <v>372.74299999999999</v>
      </c>
      <c r="AV30" s="1">
        <v>377.755</v>
      </c>
      <c r="AW30" s="1">
        <v>378.6</v>
      </c>
      <c r="AX30" s="1">
        <v>375.779</v>
      </c>
      <c r="AY30" s="1">
        <v>374.41</v>
      </c>
      <c r="AZ30" s="1">
        <v>369.69299999999998</v>
      </c>
      <c r="BA30" s="1">
        <v>366.43900000000002</v>
      </c>
      <c r="BB30" s="1">
        <v>361.48</v>
      </c>
      <c r="BC30" s="1">
        <v>364.279</v>
      </c>
      <c r="BD30" s="1">
        <v>368.63200000000001</v>
      </c>
      <c r="BE30" s="1">
        <v>379.54199999999997</v>
      </c>
      <c r="BF30" s="1">
        <v>382.238</v>
      </c>
      <c r="BG30" s="1">
        <v>388.22800000000001</v>
      </c>
      <c r="BH30" s="1">
        <v>387.53699999999998</v>
      </c>
      <c r="BI30" s="1">
        <v>392.09</v>
      </c>
      <c r="BJ30" s="1">
        <v>391.709</v>
      </c>
      <c r="BK30" s="1">
        <v>386.012</v>
      </c>
      <c r="BL30" s="1">
        <v>380.52100000000002</v>
      </c>
      <c r="BM30" s="1">
        <v>366.87099999999998</v>
      </c>
      <c r="BN30" s="1">
        <v>362.27199999999999</v>
      </c>
      <c r="BO30" s="1">
        <v>358.68599999999998</v>
      </c>
      <c r="BP30" s="1">
        <v>356.05900000000003</v>
      </c>
      <c r="BQ30" s="1">
        <v>358.17899999999997</v>
      </c>
      <c r="BR30" s="1">
        <v>360.678</v>
      </c>
      <c r="BS30" s="1">
        <v>357.97800000000001</v>
      </c>
      <c r="BT30" s="1">
        <v>381.911</v>
      </c>
      <c r="BU30" s="1">
        <v>392.08600000000001</v>
      </c>
      <c r="BV30" s="1">
        <v>394.33600000000001</v>
      </c>
      <c r="BW30" s="1">
        <v>393.96699999999998</v>
      </c>
      <c r="BX30" s="1">
        <v>398.041</v>
      </c>
      <c r="BY30" s="1">
        <v>395.86200000000002</v>
      </c>
      <c r="BZ30" s="1">
        <v>401.25900000000001</v>
      </c>
      <c r="CA30" s="1">
        <v>394.83300000000003</v>
      </c>
      <c r="CB30" s="1">
        <v>389.529</v>
      </c>
      <c r="CC30" s="1">
        <v>383.67399999999998</v>
      </c>
      <c r="CD30" s="1">
        <v>385.08499999999998</v>
      </c>
      <c r="CE30" s="1">
        <v>395.93599999999998</v>
      </c>
      <c r="CF30" s="1">
        <v>403.61099999999999</v>
      </c>
      <c r="CG30" s="1">
        <v>409.46800000000002</v>
      </c>
      <c r="CH30" s="1">
        <v>414.75700000000001</v>
      </c>
      <c r="CI30" s="1">
        <v>414.589</v>
      </c>
      <c r="CJ30" s="1">
        <v>413.76600000000002</v>
      </c>
      <c r="CK30" s="1">
        <v>411.42200000000003</v>
      </c>
      <c r="CL30" s="1">
        <v>408.09800000000001</v>
      </c>
      <c r="CM30" s="1">
        <v>404.61099999999999</v>
      </c>
      <c r="CN30" s="1">
        <v>405.57600000000002</v>
      </c>
      <c r="CO30" s="1">
        <v>390.87900000000002</v>
      </c>
      <c r="CP30" s="1">
        <v>389.97300000000001</v>
      </c>
      <c r="CQ30" s="1">
        <v>379.92</v>
      </c>
      <c r="CR30" s="1">
        <v>371.03300000000002</v>
      </c>
      <c r="CS30" s="1">
        <v>391.81</v>
      </c>
      <c r="CT30" s="1">
        <v>385.12299999999999</v>
      </c>
      <c r="CU30" s="1">
        <v>390.98</v>
      </c>
      <c r="CV30" s="1">
        <v>365.19200000000001</v>
      </c>
      <c r="CW30" s="1">
        <v>346.41399999999999</v>
      </c>
      <c r="CX30" s="1">
        <v>334.185</v>
      </c>
      <c r="CY30" s="1">
        <v>347.46199999999999</v>
      </c>
      <c r="CZ30" s="1">
        <v>370.96899999999999</v>
      </c>
      <c r="DA30" s="1">
        <v>381.45499999999998</v>
      </c>
      <c r="DB30" s="1">
        <v>401.38</v>
      </c>
      <c r="DC30" s="1">
        <v>401.20800000000003</v>
      </c>
      <c r="DD30" s="1">
        <v>403.67599999999999</v>
      </c>
      <c r="DE30" s="1">
        <v>394.40100000000001</v>
      </c>
      <c r="DF30" s="1">
        <v>391.21100000000001</v>
      </c>
      <c r="DG30" s="1">
        <v>402.8</v>
      </c>
      <c r="DH30" s="1">
        <v>425.45299999999997</v>
      </c>
      <c r="DI30" s="1">
        <v>423.88900000000001</v>
      </c>
      <c r="DJ30" s="1">
        <v>423.279</v>
      </c>
      <c r="DK30" s="1">
        <v>426.65600000000001</v>
      </c>
      <c r="DL30" s="1">
        <v>437.27600000000001</v>
      </c>
      <c r="DM30" s="1">
        <v>451.52800000000002</v>
      </c>
      <c r="DN30" s="1">
        <v>460.84</v>
      </c>
      <c r="DO30" s="1">
        <v>458.53899999999999</v>
      </c>
      <c r="DP30" s="1">
        <v>446.40499999999997</v>
      </c>
      <c r="DQ30" s="1">
        <v>436.60199999999998</v>
      </c>
      <c r="DR30" s="1">
        <v>433.93599999999998</v>
      </c>
      <c r="DS30" s="1">
        <v>439.41</v>
      </c>
      <c r="DT30" s="1">
        <v>432.46300000000002</v>
      </c>
      <c r="DU30" s="1">
        <v>452.02800000000002</v>
      </c>
      <c r="DV30" s="1">
        <v>460.60500000000002</v>
      </c>
      <c r="DW30" s="1">
        <v>461.50299999999999</v>
      </c>
      <c r="DX30" s="1">
        <v>453.59500000000003</v>
      </c>
      <c r="DY30" s="1">
        <v>438.58800000000002</v>
      </c>
      <c r="DZ30" s="1">
        <v>426.762</v>
      </c>
      <c r="EA30" s="1">
        <v>417.72800000000001</v>
      </c>
      <c r="EB30" s="1">
        <v>411.10399999999998</v>
      </c>
      <c r="EC30" s="1">
        <v>422.93099999999998</v>
      </c>
      <c r="ED30" s="1">
        <v>427.29199999999997</v>
      </c>
      <c r="EE30" s="1">
        <v>437.35399999999998</v>
      </c>
      <c r="EF30" s="1">
        <v>434.654</v>
      </c>
      <c r="EG30" s="1">
        <v>420.78899999999999</v>
      </c>
      <c r="EH30" s="1">
        <v>409.85399999999998</v>
      </c>
      <c r="EI30" s="1">
        <v>408.64400000000001</v>
      </c>
      <c r="EJ30" s="1">
        <v>386.95499999999998</v>
      </c>
      <c r="EK30" s="1">
        <v>384.46600000000001</v>
      </c>
      <c r="EL30" s="1">
        <v>421.98599999999999</v>
      </c>
      <c r="EM30" s="1">
        <v>461.072</v>
      </c>
      <c r="EN30" s="1">
        <v>483.69299999999998</v>
      </c>
      <c r="EO30" s="1">
        <v>516.37900000000002</v>
      </c>
      <c r="EP30" s="1">
        <v>522.29</v>
      </c>
      <c r="EQ30" s="1">
        <v>519.58900000000006</v>
      </c>
      <c r="ER30" s="1">
        <v>516.03599999999994</v>
      </c>
      <c r="ES30" s="1">
        <v>514.22900000000004</v>
      </c>
      <c r="ET30" s="1">
        <v>516.70399999999995</v>
      </c>
      <c r="EU30" s="1">
        <v>510.75700000000001</v>
      </c>
      <c r="EV30" s="1">
        <v>517.197</v>
      </c>
      <c r="EW30" s="1">
        <v>530.077</v>
      </c>
      <c r="EX30" s="1">
        <v>589.79700000000003</v>
      </c>
      <c r="EY30" s="1">
        <v>627.62300000000005</v>
      </c>
      <c r="EZ30" s="1">
        <v>594.38499999999999</v>
      </c>
      <c r="FA30" s="1">
        <v>626.33000000000004</v>
      </c>
      <c r="FB30" s="1">
        <v>624.726</v>
      </c>
      <c r="FC30" s="1">
        <v>542.255</v>
      </c>
      <c r="FD30" s="1">
        <v>470.24099999999999</v>
      </c>
      <c r="FE30" s="1">
        <v>403.02499999999998</v>
      </c>
      <c r="FF30" s="1">
        <v>396.71300000000002</v>
      </c>
      <c r="FG30" s="1">
        <v>340.661</v>
      </c>
      <c r="FH30" s="1">
        <v>334.46100000000001</v>
      </c>
      <c r="FI30" s="1">
        <v>345.553</v>
      </c>
      <c r="FJ30" s="1">
        <v>294.73700000000002</v>
      </c>
      <c r="FK30" s="1">
        <v>274.67099999999999</v>
      </c>
      <c r="FL30" s="1">
        <v>264.267</v>
      </c>
      <c r="FM30" s="1">
        <v>267.83</v>
      </c>
      <c r="FN30" s="1">
        <v>291.92599999999999</v>
      </c>
      <c r="FO30" s="1">
        <v>291.20299999999997</v>
      </c>
      <c r="FP30" s="1">
        <v>271.44799999999998</v>
      </c>
      <c r="FQ30" s="1">
        <v>256.62200000000001</v>
      </c>
      <c r="FR30" s="1">
        <v>256.20400000000001</v>
      </c>
      <c r="FS30" s="1">
        <v>247.89099999999999</v>
      </c>
      <c r="FT30" s="1">
        <v>231.40899999999999</v>
      </c>
      <c r="FU30" s="1">
        <v>234.251</v>
      </c>
      <c r="FV30" s="1">
        <v>235.62899999999999</v>
      </c>
      <c r="FW30" s="1">
        <v>239.44</v>
      </c>
      <c r="FX30" s="1">
        <v>239.489</v>
      </c>
      <c r="FY30" s="1">
        <v>240.85499999999999</v>
      </c>
      <c r="FZ30" s="1">
        <v>239.83799999999999</v>
      </c>
      <c r="GA30" s="1">
        <v>238.249</v>
      </c>
      <c r="GB30" s="1">
        <v>243.38399999999999</v>
      </c>
      <c r="GC30" s="1">
        <v>252.12799999999999</v>
      </c>
      <c r="GD30" s="1">
        <v>247.91900000000001</v>
      </c>
      <c r="GE30" s="1">
        <v>246.184</v>
      </c>
      <c r="GF30" s="1">
        <v>249.452</v>
      </c>
      <c r="GG30" s="1">
        <v>255.732</v>
      </c>
      <c r="GH30" s="1">
        <v>266.39999999999998</v>
      </c>
      <c r="GI30" s="1">
        <v>266.05399999999997</v>
      </c>
      <c r="GJ30" s="1">
        <v>263.20299999999997</v>
      </c>
      <c r="GK30" s="1">
        <v>255.226</v>
      </c>
      <c r="GL30" s="1">
        <v>256.12299999999999</v>
      </c>
      <c r="GM30" s="1">
        <v>268.55099999999999</v>
      </c>
      <c r="GN30" s="1">
        <v>255.023</v>
      </c>
      <c r="GO30" s="1">
        <v>249.44499999999999</v>
      </c>
      <c r="GP30" s="1">
        <v>241.99199999999999</v>
      </c>
      <c r="GQ30" s="1">
        <v>240.56100000000001</v>
      </c>
      <c r="GR30" s="1">
        <v>236.99700000000001</v>
      </c>
      <c r="GS30" s="1">
        <v>244.965</v>
      </c>
      <c r="GT30" s="1">
        <v>251.166</v>
      </c>
      <c r="GU30" s="1">
        <v>255.208</v>
      </c>
      <c r="GV30" s="1">
        <v>254.001</v>
      </c>
      <c r="GW30" s="1">
        <v>254.042</v>
      </c>
      <c r="GX30" s="1">
        <v>257.64600000000002</v>
      </c>
      <c r="GY30" s="1">
        <v>258.05099999999999</v>
      </c>
      <c r="GZ30" s="1">
        <v>267.065</v>
      </c>
      <c r="HA30" s="1">
        <v>264.69200000000001</v>
      </c>
      <c r="HB30" s="1">
        <v>255.18700000000001</v>
      </c>
      <c r="HC30" s="1">
        <v>248.66200000000001</v>
      </c>
      <c r="HD30" s="1">
        <v>241.60599999999999</v>
      </c>
      <c r="HE30" s="1">
        <v>238.374</v>
      </c>
      <c r="HF30" s="1">
        <v>236.49700000000001</v>
      </c>
      <c r="HG30" s="1">
        <v>240.99600000000001</v>
      </c>
      <c r="HH30" s="1">
        <v>242.83199999999999</v>
      </c>
      <c r="HI30" s="1">
        <v>240.387</v>
      </c>
      <c r="HJ30" s="1">
        <v>242.70099999999999</v>
      </c>
      <c r="HK30" s="1">
        <v>242.541</v>
      </c>
      <c r="HL30" s="1">
        <v>242.82599999999999</v>
      </c>
      <c r="HM30" s="1">
        <v>245.24299999999999</v>
      </c>
      <c r="HN30" s="1">
        <v>244.55600000000001</v>
      </c>
      <c r="HO30" s="1">
        <v>245.97800000000001</v>
      </c>
      <c r="HP30" s="1">
        <v>248.01400000000001</v>
      </c>
      <c r="HQ30" s="1">
        <v>250.27799999999999</v>
      </c>
      <c r="HR30" s="1">
        <v>246.67500000000001</v>
      </c>
      <c r="HS30" s="1">
        <v>250.02199999999999</v>
      </c>
      <c r="HT30" s="1">
        <v>254.96</v>
      </c>
      <c r="HU30" s="1">
        <v>262.42399999999998</v>
      </c>
      <c r="HV30" s="1">
        <v>271.89600000000002</v>
      </c>
      <c r="HW30" s="1">
        <v>276.67500000000001</v>
      </c>
      <c r="HX30" s="1">
        <v>266.447</v>
      </c>
      <c r="HY30" s="1">
        <v>270.78100000000001</v>
      </c>
      <c r="HZ30" s="1">
        <v>277.77800000000002</v>
      </c>
      <c r="IA30" s="1">
        <v>286.94499999999999</v>
      </c>
      <c r="IB30" s="1">
        <v>286.55900000000003</v>
      </c>
      <c r="IC30" s="1">
        <v>290.995</v>
      </c>
      <c r="ID30" s="1">
        <v>303.98399999999998</v>
      </c>
      <c r="IE30" s="1">
        <v>305.25299999999999</v>
      </c>
      <c r="IF30" s="1">
        <v>306.54300000000001</v>
      </c>
      <c r="IG30" s="1">
        <v>302.26900000000001</v>
      </c>
      <c r="IH30" s="1">
        <v>300.11500000000001</v>
      </c>
      <c r="II30" s="1">
        <v>300.786</v>
      </c>
      <c r="IJ30" s="1">
        <v>299.21600000000001</v>
      </c>
      <c r="IK30" s="1">
        <v>294.005</v>
      </c>
      <c r="IL30" s="1">
        <v>287.44200000000001</v>
      </c>
      <c r="IM30" s="1">
        <v>287.35199999999998</v>
      </c>
      <c r="IN30" s="1">
        <v>282.59899999999999</v>
      </c>
      <c r="IO30" s="1">
        <v>270.73099999999999</v>
      </c>
      <c r="IP30" s="1">
        <v>272.51799999999997</v>
      </c>
      <c r="IQ30" s="1">
        <v>269.435</v>
      </c>
      <c r="IR30" s="1">
        <v>279.53100000000001</v>
      </c>
      <c r="IS30" s="1">
        <v>289.58499999999998</v>
      </c>
      <c r="IT30" s="1">
        <v>291.74799999999999</v>
      </c>
      <c r="IU30" s="1">
        <v>283.95800000000003</v>
      </c>
      <c r="IV30" s="1">
        <v>279.93299999999999</v>
      </c>
      <c r="IW30" s="1">
        <v>273.91000000000003</v>
      </c>
      <c r="IX30" s="1">
        <v>275.66399999999999</v>
      </c>
      <c r="IY30" s="1">
        <v>280.26600000000002</v>
      </c>
      <c r="IZ30" s="1">
        <v>283.65600000000001</v>
      </c>
      <c r="JA30" s="1">
        <v>284.33100000000002</v>
      </c>
      <c r="JB30" s="1">
        <v>285.63400000000001</v>
      </c>
      <c r="JC30" s="1"/>
      <c r="JD30" t="s">
        <v>45</v>
      </c>
    </row>
    <row r="31" spans="1:264" x14ac:dyDescent="0.25">
      <c r="A31" s="4" t="s">
        <v>28</v>
      </c>
      <c r="B31" t="s">
        <v>34</v>
      </c>
      <c r="C31" t="s">
        <v>37</v>
      </c>
      <c r="D31" t="s">
        <v>43</v>
      </c>
      <c r="F31" t="s">
        <v>39</v>
      </c>
      <c r="G31" s="3">
        <f ca="1">_xll.BDH(A31&amp;" corp",D31,TODAY()-365,TODAY(),"pcs="&amp;B31,"dir=h","dates=h","sort=r","fill=-","cols=257;rows=1")</f>
        <v>160.624</v>
      </c>
      <c r="H31" s="1">
        <v>163.18700000000001</v>
      </c>
      <c r="I31" s="1">
        <v>166.52199999999999</v>
      </c>
      <c r="J31" s="1">
        <v>157.203</v>
      </c>
      <c r="K31" s="1">
        <v>155.84899999999999</v>
      </c>
      <c r="L31" s="1">
        <v>155.12100000000001</v>
      </c>
      <c r="M31" s="1">
        <v>156.27099999999999</v>
      </c>
      <c r="N31" s="1">
        <v>150.01400000000001</v>
      </c>
      <c r="O31" s="1">
        <v>150.20400000000001</v>
      </c>
      <c r="P31" s="1">
        <v>153.208</v>
      </c>
      <c r="Q31" s="1">
        <v>168.78399999999999</v>
      </c>
      <c r="R31" s="1">
        <v>172.91399999999999</v>
      </c>
      <c r="S31" s="1">
        <v>172.715</v>
      </c>
      <c r="T31" s="1">
        <v>179.5</v>
      </c>
      <c r="U31" s="1">
        <v>190.101</v>
      </c>
      <c r="V31" s="1">
        <v>199.892</v>
      </c>
      <c r="W31" s="1">
        <v>206.53299999999999</v>
      </c>
      <c r="X31" s="1">
        <v>196.42099999999999</v>
      </c>
      <c r="Y31" s="1">
        <v>191.328</v>
      </c>
      <c r="Z31" s="1">
        <v>193.91800000000001</v>
      </c>
      <c r="AA31" s="1">
        <v>196.17099999999999</v>
      </c>
      <c r="AB31" s="1">
        <v>181.56200000000001</v>
      </c>
      <c r="AC31" s="1">
        <v>182.82</v>
      </c>
      <c r="AD31" s="1">
        <v>184.303</v>
      </c>
      <c r="AE31" s="1">
        <v>185.79499999999999</v>
      </c>
      <c r="AF31" s="1">
        <v>190.994</v>
      </c>
      <c r="AG31" s="1">
        <v>185.69900000000001</v>
      </c>
      <c r="AH31" s="1">
        <v>177.751</v>
      </c>
      <c r="AI31" s="1">
        <v>180.376</v>
      </c>
      <c r="AJ31" s="1">
        <v>176.67699999999999</v>
      </c>
      <c r="AK31" s="1">
        <v>174.03399999999999</v>
      </c>
      <c r="AL31" s="1">
        <v>174.14099999999999</v>
      </c>
      <c r="AM31" s="1">
        <v>172.43799999999999</v>
      </c>
      <c r="AN31" s="1">
        <v>172.85</v>
      </c>
      <c r="AO31" s="1">
        <v>173.839</v>
      </c>
      <c r="AP31" s="1">
        <v>173.202</v>
      </c>
      <c r="AQ31" s="1">
        <v>174.96299999999999</v>
      </c>
      <c r="AR31" s="1">
        <v>173.726</v>
      </c>
      <c r="AS31" s="1">
        <v>164.643</v>
      </c>
      <c r="AT31" s="1">
        <v>155.547</v>
      </c>
      <c r="AU31" s="1">
        <v>158.917</v>
      </c>
      <c r="AV31" s="1">
        <v>161.80799999999999</v>
      </c>
      <c r="AW31" s="1">
        <v>162.04300000000001</v>
      </c>
      <c r="AX31" s="1">
        <v>162.32599999999999</v>
      </c>
      <c r="AY31" s="1">
        <v>160.71899999999999</v>
      </c>
      <c r="AZ31" s="1">
        <v>158.541</v>
      </c>
      <c r="BA31" s="1">
        <v>158.321</v>
      </c>
      <c r="BB31" s="1">
        <v>154.73500000000001</v>
      </c>
      <c r="BC31" s="1">
        <v>157.35400000000001</v>
      </c>
      <c r="BD31" s="1">
        <v>162.01300000000001</v>
      </c>
      <c r="BE31" s="1">
        <v>170.364</v>
      </c>
      <c r="BF31" s="1">
        <v>172.29499999999999</v>
      </c>
      <c r="BG31" s="1">
        <v>176.13399999999999</v>
      </c>
      <c r="BH31" s="1">
        <v>182.33500000000001</v>
      </c>
      <c r="BI31" s="1">
        <v>188.245</v>
      </c>
      <c r="BJ31" s="1">
        <v>192.983</v>
      </c>
      <c r="BK31" s="1">
        <v>193.29400000000001</v>
      </c>
      <c r="BL31" s="1">
        <v>193.14699999999999</v>
      </c>
      <c r="BM31" s="1">
        <v>188.94</v>
      </c>
      <c r="BN31" s="1">
        <v>187.214</v>
      </c>
      <c r="BO31" s="1">
        <v>185.22</v>
      </c>
      <c r="BP31" s="1">
        <v>186.345</v>
      </c>
      <c r="BQ31" s="1">
        <v>189.881</v>
      </c>
      <c r="BR31" s="1">
        <v>190.345</v>
      </c>
      <c r="BS31" s="1">
        <v>191.50700000000001</v>
      </c>
      <c r="BT31" s="1">
        <v>210.20500000000001</v>
      </c>
      <c r="BU31" s="1">
        <v>227.017</v>
      </c>
      <c r="BV31" s="1">
        <v>230.35300000000001</v>
      </c>
      <c r="BW31" s="1">
        <v>230.35300000000001</v>
      </c>
      <c r="BX31" s="1">
        <v>236.68</v>
      </c>
      <c r="BY31" s="1">
        <v>236.672</v>
      </c>
      <c r="BZ31" s="1">
        <v>242.61799999999999</v>
      </c>
      <c r="CA31" s="1">
        <v>240.30799999999999</v>
      </c>
      <c r="CB31" s="1">
        <v>237.34200000000001</v>
      </c>
      <c r="CC31" s="1">
        <v>230.20500000000001</v>
      </c>
      <c r="CD31" s="1">
        <v>230.17500000000001</v>
      </c>
      <c r="CE31" s="1">
        <v>238.53800000000001</v>
      </c>
      <c r="CF31" s="1">
        <v>242.167</v>
      </c>
      <c r="CG31" s="1">
        <v>248.136</v>
      </c>
      <c r="CH31" s="1">
        <v>253.23400000000001</v>
      </c>
      <c r="CI31" s="1">
        <v>255.999</v>
      </c>
      <c r="CJ31" s="1">
        <v>255.77799999999999</v>
      </c>
      <c r="CK31" s="1">
        <v>253.512</v>
      </c>
      <c r="CL31" s="1">
        <v>250.042</v>
      </c>
      <c r="CM31" s="1">
        <v>247.26300000000001</v>
      </c>
      <c r="CN31" s="1">
        <v>253.09</v>
      </c>
      <c r="CO31" s="1">
        <v>243.87200000000001</v>
      </c>
      <c r="CP31" s="1">
        <v>247.791</v>
      </c>
      <c r="CQ31" s="1">
        <v>239.78200000000001</v>
      </c>
      <c r="CR31" s="1">
        <v>232.637</v>
      </c>
      <c r="CS31" s="1">
        <v>255.19300000000001</v>
      </c>
      <c r="CT31" s="1">
        <v>255.053</v>
      </c>
      <c r="CU31" s="1">
        <v>248.643</v>
      </c>
      <c r="CV31" s="1">
        <v>213.50399999999999</v>
      </c>
      <c r="CW31" s="1">
        <v>193.571</v>
      </c>
      <c r="CX31" s="1">
        <v>180.35</v>
      </c>
      <c r="CY31" s="1">
        <v>185.10400000000001</v>
      </c>
      <c r="CZ31" s="1">
        <v>207.91200000000001</v>
      </c>
      <c r="DA31" s="1">
        <v>213.285</v>
      </c>
      <c r="DB31" s="1">
        <v>219.40700000000001</v>
      </c>
      <c r="DC31" s="1">
        <v>224.678</v>
      </c>
      <c r="DD31" s="1">
        <v>223.113</v>
      </c>
      <c r="DE31" s="1">
        <v>211.03899999999999</v>
      </c>
      <c r="DF31" s="1">
        <v>212.61699999999999</v>
      </c>
      <c r="DG31" s="1">
        <v>224.041</v>
      </c>
      <c r="DH31" s="1">
        <v>227.93600000000001</v>
      </c>
      <c r="DI31" s="1">
        <v>237.44900000000001</v>
      </c>
      <c r="DJ31" s="1">
        <v>244.58799999999999</v>
      </c>
      <c r="DK31" s="1">
        <v>252.595</v>
      </c>
      <c r="DL31" s="1">
        <v>260.80700000000002</v>
      </c>
      <c r="DM31" s="1">
        <v>275.51400000000001</v>
      </c>
      <c r="DN31" s="1">
        <v>280.803</v>
      </c>
      <c r="DO31" s="1">
        <v>278.44200000000001</v>
      </c>
      <c r="DP31" s="1">
        <v>273.36799999999999</v>
      </c>
      <c r="DQ31" s="1">
        <v>267.44</v>
      </c>
      <c r="DR31" s="1">
        <v>266.65699999999998</v>
      </c>
      <c r="DS31" s="1">
        <v>266.32299999999998</v>
      </c>
      <c r="DT31" s="1">
        <v>267.07400000000001</v>
      </c>
      <c r="DU31" s="1">
        <v>268.35599999999999</v>
      </c>
      <c r="DV31" s="1">
        <v>271.71800000000002</v>
      </c>
      <c r="DW31" s="1">
        <v>269.77199999999999</v>
      </c>
      <c r="DX31" s="1">
        <v>246.79</v>
      </c>
      <c r="DY31" s="1">
        <v>245.631</v>
      </c>
      <c r="DZ31" s="1">
        <v>238.68199999999999</v>
      </c>
      <c r="EA31" s="1">
        <v>235.70500000000001</v>
      </c>
      <c r="EB31" s="1">
        <v>229.989</v>
      </c>
      <c r="EC31" s="1">
        <v>240.24700000000001</v>
      </c>
      <c r="ED31" s="1">
        <v>244.345</v>
      </c>
      <c r="EE31" s="1">
        <v>255.429</v>
      </c>
      <c r="EF31" s="1">
        <v>262.80200000000002</v>
      </c>
      <c r="EG31" s="1">
        <v>259.62099999999998</v>
      </c>
      <c r="EH31" s="1">
        <v>265.512</v>
      </c>
      <c r="EI31" s="1">
        <v>267.16899999999998</v>
      </c>
      <c r="EJ31" s="1">
        <v>251.83</v>
      </c>
      <c r="EK31" s="1">
        <v>252.49100000000001</v>
      </c>
      <c r="EL31" s="1">
        <v>305.23200000000003</v>
      </c>
      <c r="EM31" s="1">
        <v>348.274</v>
      </c>
      <c r="EN31" s="1">
        <v>375.822</v>
      </c>
      <c r="EO31" s="1">
        <v>415.13</v>
      </c>
      <c r="EP31" s="1">
        <v>422.596</v>
      </c>
      <c r="EQ31" s="1">
        <v>425.30799999999999</v>
      </c>
      <c r="ER31" s="1">
        <v>430.79300000000001</v>
      </c>
      <c r="ES31" s="1">
        <v>431.27800000000002</v>
      </c>
      <c r="ET31" s="1">
        <v>446.29500000000002</v>
      </c>
      <c r="EU31" s="1">
        <v>452.02699999999999</v>
      </c>
      <c r="EV31" s="1">
        <v>477.154</v>
      </c>
      <c r="EW31" s="1">
        <v>492.19799999999998</v>
      </c>
      <c r="EX31" s="1">
        <v>539.74</v>
      </c>
      <c r="EY31" s="1">
        <v>555.12</v>
      </c>
      <c r="EZ31" s="1">
        <v>529.971</v>
      </c>
      <c r="FA31" s="1">
        <v>547.41200000000003</v>
      </c>
      <c r="FB31" s="1">
        <v>523.79300000000001</v>
      </c>
      <c r="FC31" s="1">
        <v>422.767</v>
      </c>
      <c r="FD31" s="1">
        <v>360.33699999999999</v>
      </c>
      <c r="FE31" s="1">
        <v>283.19299999999998</v>
      </c>
      <c r="FF31" s="1">
        <v>274.21499999999997</v>
      </c>
      <c r="FG31" s="1">
        <v>235.899</v>
      </c>
      <c r="FH31" s="1">
        <v>232.37200000000001</v>
      </c>
      <c r="FI31" s="1">
        <v>242.58</v>
      </c>
      <c r="FJ31" s="1">
        <v>195.815</v>
      </c>
      <c r="FK31" s="1">
        <v>172.357</v>
      </c>
      <c r="FL31" s="1">
        <v>164.12</v>
      </c>
      <c r="FM31" s="1">
        <v>164.959</v>
      </c>
      <c r="FN31" s="1">
        <v>177.48699999999999</v>
      </c>
      <c r="FO31" s="1">
        <v>173.589</v>
      </c>
      <c r="FP31" s="1">
        <v>158.041</v>
      </c>
      <c r="FQ31" s="1">
        <v>146.82400000000001</v>
      </c>
      <c r="FR31" s="1">
        <v>140.458</v>
      </c>
      <c r="FS31" s="1">
        <v>135.04599999999999</v>
      </c>
      <c r="FT31" s="1">
        <v>120.386</v>
      </c>
      <c r="FU31" s="1">
        <v>121.664</v>
      </c>
      <c r="FV31" s="1">
        <v>122.405</v>
      </c>
      <c r="FW31" s="1">
        <v>127.282</v>
      </c>
      <c r="FX31" s="1">
        <v>126.526</v>
      </c>
      <c r="FY31" s="1">
        <v>128.03200000000001</v>
      </c>
      <c r="FZ31" s="1">
        <v>127.95399999999999</v>
      </c>
      <c r="GA31" s="1">
        <v>128.351</v>
      </c>
      <c r="GB31" s="1">
        <v>129.21799999999999</v>
      </c>
      <c r="GC31" s="1">
        <v>131.68799999999999</v>
      </c>
      <c r="GD31" s="1">
        <v>129.583</v>
      </c>
      <c r="GE31" s="1">
        <v>127.66500000000001</v>
      </c>
      <c r="GF31" s="1">
        <v>131.083</v>
      </c>
      <c r="GG31" s="1">
        <v>134.97800000000001</v>
      </c>
      <c r="GH31" s="1">
        <v>152.01900000000001</v>
      </c>
      <c r="GI31" s="1">
        <v>152.39599999999999</v>
      </c>
      <c r="GJ31" s="1">
        <v>150.47</v>
      </c>
      <c r="GK31" s="1">
        <v>148.541</v>
      </c>
      <c r="GL31" s="1">
        <v>148.71799999999999</v>
      </c>
      <c r="GM31" s="1">
        <v>150.86500000000001</v>
      </c>
      <c r="GN31" s="1">
        <v>138.81299999999999</v>
      </c>
      <c r="GO31" s="1">
        <v>135.52099999999999</v>
      </c>
      <c r="GP31" s="1">
        <v>132.49199999999999</v>
      </c>
      <c r="GQ31" s="1">
        <v>132.50200000000001</v>
      </c>
      <c r="GR31" s="1">
        <v>132.38399999999999</v>
      </c>
      <c r="GS31" s="1">
        <v>135.27799999999999</v>
      </c>
      <c r="GT31" s="1">
        <v>140.56100000000001</v>
      </c>
      <c r="GU31" s="1">
        <v>144.72800000000001</v>
      </c>
      <c r="GV31" s="1">
        <v>145.10499999999999</v>
      </c>
      <c r="GW31" s="1">
        <v>146.17599999999999</v>
      </c>
      <c r="GX31" s="1">
        <v>148.04</v>
      </c>
      <c r="GY31" s="1">
        <v>148.518</v>
      </c>
      <c r="GZ31" s="1">
        <v>153.80500000000001</v>
      </c>
      <c r="HA31" s="1">
        <v>153.01300000000001</v>
      </c>
      <c r="HB31" s="1">
        <v>151.18299999999999</v>
      </c>
      <c r="HC31" s="1">
        <v>149.46</v>
      </c>
      <c r="HD31" s="1">
        <v>147.05500000000001</v>
      </c>
      <c r="HE31" s="1">
        <v>144.702</v>
      </c>
      <c r="HF31" s="1">
        <v>146.114</v>
      </c>
      <c r="HG31" s="1">
        <v>148.64400000000001</v>
      </c>
      <c r="HH31" s="1">
        <v>146.82499999999999</v>
      </c>
      <c r="HI31" s="1">
        <v>147.74299999999999</v>
      </c>
      <c r="HJ31" s="1">
        <v>149.977</v>
      </c>
      <c r="HK31" s="1">
        <v>151.28700000000001</v>
      </c>
      <c r="HL31" s="1">
        <v>151.02500000000001</v>
      </c>
      <c r="HM31" s="1">
        <v>152.00200000000001</v>
      </c>
      <c r="HN31" s="1">
        <v>153.72200000000001</v>
      </c>
      <c r="HO31" s="1">
        <v>154.90199999999999</v>
      </c>
      <c r="HP31" s="1">
        <v>157.22399999999999</v>
      </c>
      <c r="HQ31" s="1">
        <v>162.18199999999999</v>
      </c>
      <c r="HR31" s="1">
        <v>164.267</v>
      </c>
      <c r="HS31" s="1">
        <v>162.446</v>
      </c>
      <c r="HT31" s="1">
        <v>163.68199999999999</v>
      </c>
      <c r="HU31" s="1">
        <v>166.92699999999999</v>
      </c>
      <c r="HV31" s="1">
        <v>168.994</v>
      </c>
      <c r="HW31" s="1">
        <v>173.756</v>
      </c>
      <c r="HX31" s="1">
        <v>175.71299999999999</v>
      </c>
      <c r="HY31" s="1">
        <v>169.61799999999999</v>
      </c>
      <c r="HZ31" s="1">
        <v>172.05</v>
      </c>
      <c r="IA31" s="1">
        <v>172.114</v>
      </c>
      <c r="IB31" s="1">
        <v>170.33699999999999</v>
      </c>
      <c r="IC31" s="1">
        <v>168.035</v>
      </c>
      <c r="ID31" s="1">
        <v>170.505</v>
      </c>
      <c r="IE31" s="1">
        <v>173.59399999999999</v>
      </c>
      <c r="IF31" s="1">
        <v>174.471</v>
      </c>
      <c r="IG31" s="1">
        <v>176.09100000000001</v>
      </c>
      <c r="IH31" s="1">
        <v>171.47900000000001</v>
      </c>
      <c r="II31" s="1">
        <v>169.63200000000001</v>
      </c>
      <c r="IJ31" s="1">
        <v>169.16</v>
      </c>
      <c r="IK31" s="1">
        <v>163.08099999999999</v>
      </c>
      <c r="IL31" s="1">
        <v>157.27699999999999</v>
      </c>
      <c r="IM31" s="1">
        <v>132.601</v>
      </c>
      <c r="IN31" s="1">
        <v>130.64400000000001</v>
      </c>
      <c r="IO31" s="1">
        <v>127.17700000000001</v>
      </c>
      <c r="IP31" s="1">
        <v>122.354</v>
      </c>
      <c r="IQ31" s="1">
        <v>123.498</v>
      </c>
      <c r="IR31" s="1">
        <v>122.30200000000001</v>
      </c>
      <c r="IS31" s="1">
        <v>129.47900000000001</v>
      </c>
      <c r="IT31" s="1">
        <v>132.28800000000001</v>
      </c>
      <c r="IU31" s="1">
        <v>133.95099999999999</v>
      </c>
      <c r="IV31" s="1">
        <v>129.53700000000001</v>
      </c>
      <c r="IW31" s="1">
        <v>127.57299999999999</v>
      </c>
      <c r="IX31" s="1">
        <v>123.45399999999999</v>
      </c>
      <c r="IY31" s="1">
        <v>124.01600000000001</v>
      </c>
      <c r="IZ31" s="1">
        <v>126.71299999999999</v>
      </c>
      <c r="JA31" s="1">
        <v>129.40100000000001</v>
      </c>
      <c r="JB31" s="1">
        <v>128.41200000000001</v>
      </c>
      <c r="JC31" s="1">
        <v>128.49199999999999</v>
      </c>
      <c r="JD31" t="s">
        <v>45</v>
      </c>
    </row>
    <row r="32" spans="1:264" x14ac:dyDescent="0.25">
      <c r="A32" s="4" t="s">
        <v>29</v>
      </c>
      <c r="B32" t="s">
        <v>34</v>
      </c>
      <c r="C32" t="s">
        <v>37</v>
      </c>
      <c r="D32" t="s">
        <v>43</v>
      </c>
      <c r="F32" t="s">
        <v>39</v>
      </c>
      <c r="G32" s="3">
        <f ca="1">_xll.BDH(A32&amp;" corp",D32,TODAY()-365,TODAY(),"pcs="&amp;B32,"dir=h","dates=h","sort=r","fill=-","cols=256;rows=1")</f>
        <v>173.56</v>
      </c>
      <c r="H32" s="1">
        <v>176.34399999999999</v>
      </c>
      <c r="I32" s="1">
        <v>175.51</v>
      </c>
      <c r="J32" s="1">
        <v>171.46199999999999</v>
      </c>
      <c r="K32" s="1">
        <v>170.01400000000001</v>
      </c>
      <c r="L32" s="1">
        <v>169.31200000000001</v>
      </c>
      <c r="M32" s="1">
        <v>168.108</v>
      </c>
      <c r="N32" s="1">
        <v>168.38900000000001</v>
      </c>
      <c r="O32" s="1">
        <v>165.833</v>
      </c>
      <c r="P32" s="1">
        <v>165.798</v>
      </c>
      <c r="Q32" s="1">
        <v>171.40199999999999</v>
      </c>
      <c r="R32" s="1">
        <v>175.446</v>
      </c>
      <c r="S32" s="1">
        <v>175.64699999999999</v>
      </c>
      <c r="T32" s="1">
        <v>180.42699999999999</v>
      </c>
      <c r="U32" s="1">
        <v>189.34299999999999</v>
      </c>
      <c r="V32" s="1">
        <v>189.59299999999999</v>
      </c>
      <c r="W32" s="1">
        <v>192.691</v>
      </c>
      <c r="X32" s="1">
        <v>185.983</v>
      </c>
      <c r="Y32" s="1">
        <v>180.09800000000001</v>
      </c>
      <c r="Z32" s="1">
        <v>179.83500000000001</v>
      </c>
      <c r="AA32" s="1">
        <v>179.392</v>
      </c>
      <c r="AB32" s="1">
        <v>171.77699999999999</v>
      </c>
      <c r="AC32" s="1">
        <v>176.523</v>
      </c>
      <c r="AD32" s="1">
        <v>177.37</v>
      </c>
      <c r="AE32" s="1">
        <v>179.36199999999999</v>
      </c>
      <c r="AF32" s="1">
        <v>179.64599999999999</v>
      </c>
      <c r="AG32" s="1">
        <v>178.38800000000001</v>
      </c>
      <c r="AH32" s="1">
        <v>172.94900000000001</v>
      </c>
      <c r="AI32" s="1">
        <v>175.82400000000001</v>
      </c>
      <c r="AJ32" s="1">
        <v>176.06800000000001</v>
      </c>
      <c r="AK32" s="1">
        <v>173.74600000000001</v>
      </c>
      <c r="AL32" s="1">
        <v>174.315</v>
      </c>
      <c r="AM32" s="1">
        <v>173.745</v>
      </c>
      <c r="AN32" s="1">
        <v>171.76900000000001</v>
      </c>
      <c r="AO32" s="1">
        <v>176.864</v>
      </c>
      <c r="AP32" s="1">
        <v>174.75700000000001</v>
      </c>
      <c r="AQ32" s="1">
        <v>176.541</v>
      </c>
      <c r="AR32" s="1">
        <v>175.78200000000001</v>
      </c>
      <c r="AS32" s="1">
        <v>173.00399999999999</v>
      </c>
      <c r="AT32" s="1">
        <v>172.166</v>
      </c>
      <c r="AU32" s="1">
        <v>175.709</v>
      </c>
      <c r="AV32" s="1">
        <v>178.46799999999999</v>
      </c>
      <c r="AW32" s="1">
        <v>176.97900000000001</v>
      </c>
      <c r="AX32" s="1">
        <v>174.328</v>
      </c>
      <c r="AY32" s="1">
        <v>172.715</v>
      </c>
      <c r="AZ32" s="1">
        <v>171.322</v>
      </c>
      <c r="BA32" s="1">
        <v>166.48500000000001</v>
      </c>
      <c r="BB32" s="1">
        <v>164.673</v>
      </c>
      <c r="BC32" s="1">
        <v>165.738</v>
      </c>
      <c r="BD32" s="1">
        <v>167.68199999999999</v>
      </c>
      <c r="BE32" s="1">
        <v>174.398</v>
      </c>
      <c r="BF32" s="1">
        <v>174.471</v>
      </c>
      <c r="BG32" s="1">
        <v>178.13200000000001</v>
      </c>
      <c r="BH32" s="1">
        <v>179.43899999999999</v>
      </c>
      <c r="BI32" s="1">
        <v>183.60900000000001</v>
      </c>
      <c r="BJ32" s="1">
        <v>182.80699999999999</v>
      </c>
      <c r="BK32" s="1">
        <v>186.08199999999999</v>
      </c>
      <c r="BL32" s="1">
        <v>181.53700000000001</v>
      </c>
      <c r="BM32" s="1">
        <v>171.33799999999999</v>
      </c>
      <c r="BN32" s="1">
        <v>168.04599999999999</v>
      </c>
      <c r="BO32" s="1">
        <v>160.22200000000001</v>
      </c>
      <c r="BP32" s="1">
        <v>159.44800000000001</v>
      </c>
      <c r="BQ32" s="1">
        <v>163.042</v>
      </c>
      <c r="BR32" s="1">
        <v>163.82499999999999</v>
      </c>
      <c r="BS32" s="1">
        <v>162.511</v>
      </c>
      <c r="BT32" s="1">
        <v>169.69200000000001</v>
      </c>
      <c r="BU32" s="1">
        <v>179.92400000000001</v>
      </c>
      <c r="BV32" s="1">
        <v>182.65899999999999</v>
      </c>
      <c r="BW32" s="1">
        <v>184.614</v>
      </c>
      <c r="BX32" s="1">
        <v>188.55600000000001</v>
      </c>
      <c r="BY32" s="1">
        <v>190.33500000000001</v>
      </c>
      <c r="BZ32" s="1">
        <v>194.607</v>
      </c>
      <c r="CA32" s="1">
        <v>192.517</v>
      </c>
      <c r="CB32" s="1">
        <v>190.72399999999999</v>
      </c>
      <c r="CC32" s="1">
        <v>188.95099999999999</v>
      </c>
      <c r="CD32" s="1">
        <v>189.596</v>
      </c>
      <c r="CE32" s="1">
        <v>194.03100000000001</v>
      </c>
      <c r="CF32" s="1">
        <v>194.61</v>
      </c>
      <c r="CG32" s="1">
        <v>197.91</v>
      </c>
      <c r="CH32" s="1">
        <v>205.28800000000001</v>
      </c>
      <c r="CI32" s="1">
        <v>207.732</v>
      </c>
      <c r="CJ32" s="1">
        <v>206.73</v>
      </c>
      <c r="CK32" s="1">
        <v>206.18299999999999</v>
      </c>
      <c r="CL32" s="1">
        <v>203.339</v>
      </c>
      <c r="CM32" s="1">
        <v>199.655</v>
      </c>
      <c r="CN32" s="1">
        <v>200.13300000000001</v>
      </c>
      <c r="CO32" s="1">
        <v>192.096</v>
      </c>
      <c r="CP32" s="1">
        <v>191.00899999999999</v>
      </c>
      <c r="CQ32" s="1">
        <v>184.845</v>
      </c>
      <c r="CR32" s="1">
        <v>179.18600000000001</v>
      </c>
      <c r="CS32" s="1">
        <v>193.60900000000001</v>
      </c>
      <c r="CT32" s="1">
        <v>189.91900000000001</v>
      </c>
      <c r="CU32" s="1">
        <v>191.70500000000001</v>
      </c>
      <c r="CV32" s="1">
        <v>178.751</v>
      </c>
      <c r="CW32" s="1">
        <v>167.80699999999999</v>
      </c>
      <c r="CX32" s="1">
        <v>157.82400000000001</v>
      </c>
      <c r="CY32" s="1">
        <v>162.87899999999999</v>
      </c>
      <c r="CZ32" s="1">
        <v>177.92099999999999</v>
      </c>
      <c r="DA32" s="1">
        <v>181.86500000000001</v>
      </c>
      <c r="DB32" s="1">
        <v>191.005</v>
      </c>
      <c r="DC32" s="1">
        <v>192.73699999999999</v>
      </c>
      <c r="DD32" s="1">
        <v>193.23699999999999</v>
      </c>
      <c r="DE32" s="1">
        <v>188.18100000000001</v>
      </c>
      <c r="DF32" s="1">
        <v>189.45099999999999</v>
      </c>
      <c r="DG32" s="1">
        <v>200.142</v>
      </c>
      <c r="DH32" s="1">
        <v>202.50700000000001</v>
      </c>
      <c r="DI32" s="1">
        <v>215.48099999999999</v>
      </c>
      <c r="DJ32" s="1">
        <v>219.524</v>
      </c>
      <c r="DK32" s="1">
        <v>224.18100000000001</v>
      </c>
      <c r="DL32" s="1">
        <v>235.62700000000001</v>
      </c>
      <c r="DM32" s="1">
        <v>243.89400000000001</v>
      </c>
      <c r="DN32" s="1">
        <v>249.48</v>
      </c>
      <c r="DO32" s="1">
        <v>250.94200000000001</v>
      </c>
      <c r="DP32" s="1">
        <v>249.63800000000001</v>
      </c>
      <c r="DQ32" s="1">
        <v>246.35599999999999</v>
      </c>
      <c r="DR32" s="1">
        <v>247.33799999999999</v>
      </c>
      <c r="DS32" s="1">
        <v>245.80199999999999</v>
      </c>
      <c r="DT32" s="1">
        <v>252.75899999999999</v>
      </c>
      <c r="DU32" s="1">
        <v>255.572</v>
      </c>
      <c r="DV32" s="1">
        <v>261.81299999999999</v>
      </c>
      <c r="DW32" s="1">
        <v>262.61799999999999</v>
      </c>
      <c r="DX32" s="1">
        <v>255.57</v>
      </c>
      <c r="DY32" s="1">
        <v>254.304</v>
      </c>
      <c r="DZ32" s="1">
        <v>246.11199999999999</v>
      </c>
      <c r="EA32" s="1">
        <v>242.28</v>
      </c>
      <c r="EB32" s="1">
        <v>239.458</v>
      </c>
      <c r="EC32" s="1">
        <v>260.46199999999999</v>
      </c>
      <c r="ED32" s="1">
        <v>271.23599999999999</v>
      </c>
      <c r="EE32" s="1">
        <v>275.06299999999999</v>
      </c>
      <c r="EF32" s="1">
        <v>280.62700000000001</v>
      </c>
      <c r="EG32" s="1">
        <v>278.31700000000001</v>
      </c>
      <c r="EH32" s="1">
        <v>280.45499999999998</v>
      </c>
      <c r="EI32" s="1">
        <v>281.875</v>
      </c>
      <c r="EJ32" s="1">
        <v>277.89699999999999</v>
      </c>
      <c r="EK32" s="1">
        <v>285.89299999999997</v>
      </c>
      <c r="EL32" s="1">
        <v>318.36900000000003</v>
      </c>
      <c r="EM32" s="1">
        <v>347.07799999999997</v>
      </c>
      <c r="EN32" s="1">
        <v>363.86099999999999</v>
      </c>
      <c r="EO32" s="1">
        <v>386.40499999999997</v>
      </c>
      <c r="EP32" s="1">
        <v>392.18099999999998</v>
      </c>
      <c r="EQ32" s="1">
        <v>395.339</v>
      </c>
      <c r="ER32" s="1">
        <v>395.49799999999999</v>
      </c>
      <c r="ES32" s="1">
        <v>402.00900000000001</v>
      </c>
      <c r="ET32" s="1">
        <v>412.46499999999997</v>
      </c>
      <c r="EU32" s="1">
        <v>417.291</v>
      </c>
      <c r="EV32" s="1">
        <v>419.49299999999999</v>
      </c>
      <c r="EW32" s="1">
        <v>422.47899999999998</v>
      </c>
      <c r="EX32" s="1">
        <v>469.36099999999999</v>
      </c>
      <c r="EY32" s="1">
        <v>487.995</v>
      </c>
      <c r="EZ32" s="1">
        <v>472.57400000000001</v>
      </c>
      <c r="FA32" s="1">
        <v>474.661</v>
      </c>
      <c r="FB32" s="1">
        <v>477.017</v>
      </c>
      <c r="FC32" s="1">
        <v>399.65699999999998</v>
      </c>
      <c r="FD32" s="1">
        <v>334.94900000000001</v>
      </c>
      <c r="FE32" s="1">
        <v>268.63900000000001</v>
      </c>
      <c r="FF32" s="1">
        <v>264.28899999999999</v>
      </c>
      <c r="FG32" s="1">
        <v>233.54499999999999</v>
      </c>
      <c r="FH32" s="1">
        <v>232.09399999999999</v>
      </c>
      <c r="FI32" s="1">
        <v>242.398</v>
      </c>
      <c r="FJ32" s="1">
        <v>190.05099999999999</v>
      </c>
      <c r="FK32" s="1">
        <v>168.54400000000001</v>
      </c>
      <c r="FL32" s="1">
        <v>180.62700000000001</v>
      </c>
      <c r="FM32" s="1">
        <v>166.83600000000001</v>
      </c>
      <c r="FN32" s="1">
        <v>177.376</v>
      </c>
      <c r="FO32" s="1">
        <v>173.184</v>
      </c>
      <c r="FP32" s="1">
        <v>157.02600000000001</v>
      </c>
      <c r="FQ32" s="1">
        <v>144.154</v>
      </c>
      <c r="FR32" s="1">
        <v>141.53800000000001</v>
      </c>
      <c r="FS32" s="1">
        <v>135.244</v>
      </c>
      <c r="FT32" s="1">
        <v>117.19799999999999</v>
      </c>
      <c r="FU32" s="1">
        <v>119.92400000000001</v>
      </c>
      <c r="FV32" s="1">
        <v>121.134</v>
      </c>
      <c r="FW32" s="1">
        <v>122.93</v>
      </c>
      <c r="FX32" s="1">
        <v>121.098</v>
      </c>
      <c r="FY32" s="1">
        <v>121.92700000000001</v>
      </c>
      <c r="FZ32" s="1">
        <v>120.944</v>
      </c>
      <c r="GA32" s="1">
        <v>120.714</v>
      </c>
      <c r="GB32" s="1">
        <v>121.05500000000001</v>
      </c>
      <c r="GC32" s="1">
        <v>121.72</v>
      </c>
      <c r="GD32" s="1">
        <v>119.532</v>
      </c>
      <c r="GE32" s="1">
        <v>117.80500000000001</v>
      </c>
      <c r="GF32" s="1">
        <v>121.952</v>
      </c>
      <c r="GG32" s="1">
        <v>128.565</v>
      </c>
      <c r="GH32" s="1">
        <v>134.61799999999999</v>
      </c>
      <c r="GI32" s="1">
        <v>134.18899999999999</v>
      </c>
      <c r="GJ32" s="1">
        <v>132.53899999999999</v>
      </c>
      <c r="GK32" s="1">
        <v>128.756</v>
      </c>
      <c r="GL32" s="1">
        <v>128.70599999999999</v>
      </c>
      <c r="GM32" s="1">
        <v>131.60400000000001</v>
      </c>
      <c r="GN32" s="1">
        <v>120.437</v>
      </c>
      <c r="GO32" s="1">
        <v>116.521</v>
      </c>
      <c r="GP32" s="1">
        <v>110.887</v>
      </c>
      <c r="GQ32" s="1">
        <v>110.46299999999999</v>
      </c>
      <c r="GR32" s="1">
        <v>108.167</v>
      </c>
      <c r="GS32" s="1">
        <v>108.55</v>
      </c>
      <c r="GT32" s="1">
        <v>113.8</v>
      </c>
      <c r="GU32" s="1">
        <v>115.095</v>
      </c>
      <c r="GV32" s="1">
        <v>112.248</v>
      </c>
      <c r="GW32" s="1">
        <v>111.88200000000001</v>
      </c>
      <c r="GX32" s="1">
        <v>113.611</v>
      </c>
      <c r="GY32" s="1">
        <v>112.08799999999999</v>
      </c>
      <c r="GZ32" s="1">
        <v>115.858</v>
      </c>
      <c r="HA32" s="1">
        <v>116.113</v>
      </c>
      <c r="HB32" s="1">
        <v>112.797</v>
      </c>
      <c r="HC32" s="1">
        <v>112.129</v>
      </c>
      <c r="HD32" s="1">
        <v>109.21899999999999</v>
      </c>
      <c r="HE32" s="1">
        <v>109.758</v>
      </c>
      <c r="HF32" s="1">
        <v>106.209</v>
      </c>
      <c r="HG32" s="1">
        <v>111.163</v>
      </c>
      <c r="HH32" s="1">
        <v>110.46</v>
      </c>
      <c r="HI32" s="1">
        <v>110.586</v>
      </c>
      <c r="HJ32" s="1">
        <v>113.023</v>
      </c>
      <c r="HK32" s="1">
        <v>112.899</v>
      </c>
      <c r="HL32" s="1">
        <v>115.071</v>
      </c>
      <c r="HM32" s="1">
        <v>118.443</v>
      </c>
      <c r="HN32" s="1">
        <v>118.65600000000001</v>
      </c>
      <c r="HO32" s="1">
        <v>119.767</v>
      </c>
      <c r="HP32" s="1">
        <v>124.447</v>
      </c>
      <c r="HQ32" s="1">
        <v>127.498</v>
      </c>
      <c r="HR32" s="1">
        <v>125.71299999999999</v>
      </c>
      <c r="HS32" s="1">
        <v>128.73599999999999</v>
      </c>
      <c r="HT32" s="1">
        <v>130.94399999999999</v>
      </c>
      <c r="HU32" s="1">
        <v>134.82400000000001</v>
      </c>
      <c r="HV32" s="1">
        <v>138.33799999999999</v>
      </c>
      <c r="HW32" s="1">
        <v>141.54900000000001</v>
      </c>
      <c r="HX32" s="1">
        <v>134.875</v>
      </c>
      <c r="HY32" s="1">
        <v>139.13999999999999</v>
      </c>
      <c r="HZ32" s="1">
        <v>140.66999999999999</v>
      </c>
      <c r="IA32" s="1">
        <v>139.81200000000001</v>
      </c>
      <c r="IB32" s="1">
        <v>137.50299999999999</v>
      </c>
      <c r="IC32" s="1">
        <v>142.22800000000001</v>
      </c>
      <c r="ID32" s="1">
        <v>152.58699999999999</v>
      </c>
      <c r="IE32" s="1">
        <v>152.858</v>
      </c>
      <c r="IF32" s="1">
        <v>153.46899999999999</v>
      </c>
      <c r="IG32" s="1">
        <v>150.191</v>
      </c>
      <c r="IH32" s="1">
        <v>147.05000000000001</v>
      </c>
      <c r="II32" s="1">
        <v>146.85</v>
      </c>
      <c r="IJ32" s="1">
        <v>146.18</v>
      </c>
      <c r="IK32" s="1">
        <v>141.87299999999999</v>
      </c>
      <c r="IL32" s="1">
        <v>137.22499999999999</v>
      </c>
      <c r="IM32" s="1">
        <v>135.74700000000001</v>
      </c>
      <c r="IN32" s="1">
        <v>135.54300000000001</v>
      </c>
      <c r="IO32" s="1">
        <v>127.499</v>
      </c>
      <c r="IP32" s="1">
        <v>132.03399999999999</v>
      </c>
      <c r="IQ32" s="1">
        <v>130.67599999999999</v>
      </c>
      <c r="IR32" s="1">
        <v>134.376</v>
      </c>
      <c r="IS32" s="1">
        <v>137.946</v>
      </c>
      <c r="IT32" s="1">
        <v>138.66399999999999</v>
      </c>
      <c r="IU32" s="1">
        <v>135.11199999999999</v>
      </c>
      <c r="IV32" s="1">
        <v>134.67500000000001</v>
      </c>
      <c r="IW32" s="1">
        <v>129.761</v>
      </c>
      <c r="IX32" s="1">
        <v>131.898</v>
      </c>
      <c r="IY32" s="1">
        <v>136.77799999999999</v>
      </c>
      <c r="IZ32" s="1">
        <v>137.25700000000001</v>
      </c>
      <c r="JA32" s="1">
        <v>136.38499999999999</v>
      </c>
      <c r="JB32" s="1">
        <v>135.541</v>
      </c>
      <c r="JC32" s="1"/>
      <c r="JD32" t="s">
        <v>45</v>
      </c>
    </row>
    <row r="33" spans="1:264" x14ac:dyDescent="0.25">
      <c r="A33" s="4" t="s">
        <v>30</v>
      </c>
      <c r="B33" t="s">
        <v>34</v>
      </c>
      <c r="C33" t="s">
        <v>37</v>
      </c>
      <c r="D33" t="s">
        <v>43</v>
      </c>
      <c r="F33" t="s">
        <v>39</v>
      </c>
      <c r="G33" s="3">
        <f ca="1">_xll.BDH(A33&amp;" corp",D33,TODAY()-365,TODAY(),"pcs="&amp;B33,"dir=h","dates=h","sort=r","fill=-","cols=256;rows=1")</f>
        <v>322.303</v>
      </c>
      <c r="H33" s="1">
        <v>325.30900000000003</v>
      </c>
      <c r="I33" s="1">
        <v>328.27600000000001</v>
      </c>
      <c r="J33" s="1">
        <v>313.83</v>
      </c>
      <c r="K33" s="1">
        <v>310.14499999999998</v>
      </c>
      <c r="L33" s="1">
        <v>308.58100000000002</v>
      </c>
      <c r="M33" s="1">
        <v>307.87400000000002</v>
      </c>
      <c r="N33" s="1">
        <v>305.601</v>
      </c>
      <c r="O33" s="1">
        <v>301.03800000000001</v>
      </c>
      <c r="P33" s="1">
        <v>302.02499999999998</v>
      </c>
      <c r="Q33" s="1">
        <v>309.16899999999998</v>
      </c>
      <c r="R33" s="1">
        <v>314.488</v>
      </c>
      <c r="S33" s="1">
        <v>315.911</v>
      </c>
      <c r="T33" s="1">
        <v>327.73200000000003</v>
      </c>
      <c r="U33" s="1">
        <v>344.93900000000002</v>
      </c>
      <c r="V33" s="1">
        <v>356.827</v>
      </c>
      <c r="W33" s="1">
        <v>361.28500000000003</v>
      </c>
      <c r="X33" s="1">
        <v>351.12200000000001</v>
      </c>
      <c r="Y33" s="1">
        <v>337.93299999999999</v>
      </c>
      <c r="Z33" s="1">
        <v>339.19799999999998</v>
      </c>
      <c r="AA33" s="1">
        <v>331.77800000000002</v>
      </c>
      <c r="AB33" s="1">
        <v>315.70800000000003</v>
      </c>
      <c r="AC33" s="1">
        <v>322.08199999999999</v>
      </c>
      <c r="AD33" s="1">
        <v>327.245</v>
      </c>
      <c r="AE33" s="1">
        <v>334.88</v>
      </c>
      <c r="AF33" s="1">
        <v>337.42899999999997</v>
      </c>
      <c r="AG33" s="1">
        <v>326.73</v>
      </c>
      <c r="AH33" s="1">
        <v>321.38600000000002</v>
      </c>
      <c r="AI33" s="1">
        <v>324.572</v>
      </c>
      <c r="AJ33" s="1">
        <v>312.03899999999999</v>
      </c>
      <c r="AK33" s="1">
        <v>302.858</v>
      </c>
      <c r="AL33" s="1">
        <v>303.05900000000003</v>
      </c>
      <c r="AM33" s="1">
        <v>301.93900000000002</v>
      </c>
      <c r="AN33" s="1">
        <v>301.69900000000001</v>
      </c>
      <c r="AO33" s="1">
        <v>302.79899999999998</v>
      </c>
      <c r="AP33" s="1">
        <v>302.39600000000002</v>
      </c>
      <c r="AQ33" s="1">
        <v>302.97300000000001</v>
      </c>
      <c r="AR33" s="1">
        <v>301.07299999999998</v>
      </c>
      <c r="AS33" s="1">
        <v>298.423</v>
      </c>
      <c r="AT33" s="1">
        <v>297.52199999999999</v>
      </c>
      <c r="AU33" s="1">
        <v>301.51100000000002</v>
      </c>
      <c r="AV33" s="1">
        <v>303.964</v>
      </c>
      <c r="AW33" s="1">
        <v>303.65699999999998</v>
      </c>
      <c r="AX33" s="1">
        <v>300.50599999999997</v>
      </c>
      <c r="AY33" s="1">
        <v>299.214</v>
      </c>
      <c r="AZ33" s="1">
        <v>298.113</v>
      </c>
      <c r="BA33" s="1">
        <v>292.56700000000001</v>
      </c>
      <c r="BB33" s="1">
        <v>289.68700000000001</v>
      </c>
      <c r="BC33" s="1">
        <v>292.81200000000001</v>
      </c>
      <c r="BD33" s="1">
        <v>296.78100000000001</v>
      </c>
      <c r="BE33" s="1">
        <v>305.678</v>
      </c>
      <c r="BF33" s="1">
        <v>308.92500000000001</v>
      </c>
      <c r="BG33" s="1">
        <v>311.67</v>
      </c>
      <c r="BH33" s="1">
        <v>315.51100000000002</v>
      </c>
      <c r="BI33" s="1">
        <v>323.15899999999999</v>
      </c>
      <c r="BJ33" s="1">
        <v>326.87</v>
      </c>
      <c r="BK33" s="1">
        <v>325.63900000000001</v>
      </c>
      <c r="BL33" s="1">
        <v>325.45699999999999</v>
      </c>
      <c r="BM33" s="1">
        <v>317.48500000000001</v>
      </c>
      <c r="BN33" s="1">
        <v>314.21300000000002</v>
      </c>
      <c r="BO33" s="1">
        <v>311.947</v>
      </c>
      <c r="BP33" s="1">
        <v>311.02499999999998</v>
      </c>
      <c r="BQ33" s="1">
        <v>311.14400000000001</v>
      </c>
      <c r="BR33" s="1">
        <v>314.39800000000002</v>
      </c>
      <c r="BS33" s="1">
        <v>315.46800000000002</v>
      </c>
      <c r="BT33" s="1">
        <v>326.387</v>
      </c>
      <c r="BU33" s="1">
        <v>345.637</v>
      </c>
      <c r="BV33" s="1">
        <v>348.32299999999998</v>
      </c>
      <c r="BW33" s="1">
        <v>349.54300000000001</v>
      </c>
      <c r="BX33" s="1">
        <v>355.65300000000002</v>
      </c>
      <c r="BY33" s="1">
        <v>355.53399999999999</v>
      </c>
      <c r="BZ33" s="1">
        <v>360.03699999999998</v>
      </c>
      <c r="CA33" s="1">
        <v>351.14800000000002</v>
      </c>
      <c r="CB33" s="1">
        <v>347.69</v>
      </c>
      <c r="CC33" s="1">
        <v>336.005</v>
      </c>
      <c r="CD33" s="1">
        <v>335.87200000000001</v>
      </c>
      <c r="CE33" s="1">
        <v>347.16899999999998</v>
      </c>
      <c r="CF33" s="1">
        <v>347.89600000000002</v>
      </c>
      <c r="CG33" s="1">
        <v>359.81299999999999</v>
      </c>
      <c r="CH33" s="1">
        <v>377.14499999999998</v>
      </c>
      <c r="CI33" s="1">
        <v>397.77499999999998</v>
      </c>
      <c r="CJ33" s="1">
        <v>408.38400000000001</v>
      </c>
      <c r="CK33" s="1">
        <v>413.39800000000002</v>
      </c>
      <c r="CL33" s="1">
        <v>413.29399999999998</v>
      </c>
      <c r="CM33" s="1">
        <v>412.572</v>
      </c>
      <c r="CN33" s="1">
        <v>428.721</v>
      </c>
      <c r="CO33" s="1">
        <v>403.34899999999999</v>
      </c>
      <c r="CP33" s="1">
        <v>403.495</v>
      </c>
      <c r="CQ33" s="1">
        <v>393.20299999999997</v>
      </c>
      <c r="CR33" s="1">
        <v>379.18299999999999</v>
      </c>
      <c r="CS33" s="1">
        <v>404.04</v>
      </c>
      <c r="CT33" s="1">
        <v>395.96100000000001</v>
      </c>
      <c r="CU33" s="1">
        <v>392.75200000000001</v>
      </c>
      <c r="CV33" s="1">
        <v>365.66300000000001</v>
      </c>
      <c r="CW33" s="1">
        <v>342.31700000000001</v>
      </c>
      <c r="CX33" s="1">
        <v>319.56099999999998</v>
      </c>
      <c r="CY33" s="1">
        <v>330.36500000000001</v>
      </c>
      <c r="CZ33" s="1">
        <v>357.76499999999999</v>
      </c>
      <c r="DA33" s="1">
        <v>370.75099999999998</v>
      </c>
      <c r="DB33" s="1">
        <v>392.84699999999998</v>
      </c>
      <c r="DC33" s="1">
        <v>393.69900000000001</v>
      </c>
      <c r="DD33" s="1">
        <v>397.08199999999999</v>
      </c>
      <c r="DE33" s="1">
        <v>389.54700000000003</v>
      </c>
      <c r="DF33" s="1">
        <v>384.07900000000001</v>
      </c>
      <c r="DG33" s="1">
        <v>425.85</v>
      </c>
      <c r="DH33" s="1">
        <v>452.8</v>
      </c>
      <c r="DI33" s="1">
        <v>458.125</v>
      </c>
      <c r="DJ33" s="1">
        <v>462.20699999999999</v>
      </c>
      <c r="DK33" s="1">
        <v>478.68</v>
      </c>
      <c r="DL33" s="1">
        <v>498.91300000000001</v>
      </c>
      <c r="DM33" s="1">
        <v>521.16700000000003</v>
      </c>
      <c r="DN33" s="1">
        <v>546.29999999999995</v>
      </c>
      <c r="DO33" s="1">
        <v>553.678</v>
      </c>
      <c r="DP33" s="1">
        <v>532.06500000000005</v>
      </c>
      <c r="DQ33" s="1">
        <v>503.33600000000001</v>
      </c>
      <c r="DR33" s="1">
        <v>487.697</v>
      </c>
      <c r="DS33" s="1">
        <v>480.29300000000001</v>
      </c>
      <c r="DT33" s="1">
        <v>494.726</v>
      </c>
      <c r="DU33" s="1">
        <v>500.76</v>
      </c>
      <c r="DV33" s="1">
        <v>510.57</v>
      </c>
      <c r="DW33" s="1">
        <v>514.55100000000004</v>
      </c>
      <c r="DX33" s="1">
        <v>489.88799999999998</v>
      </c>
      <c r="DY33" s="1">
        <v>468.36700000000002</v>
      </c>
      <c r="DZ33" s="1">
        <v>446.31400000000002</v>
      </c>
      <c r="EA33" s="1">
        <v>427.42399999999998</v>
      </c>
      <c r="EB33" s="1">
        <v>403.9</v>
      </c>
      <c r="EC33" s="1">
        <v>420.80399999999997</v>
      </c>
      <c r="ED33" s="1">
        <v>423.20800000000003</v>
      </c>
      <c r="EE33" s="1">
        <v>430.596</v>
      </c>
      <c r="EF33" s="1">
        <v>428.911</v>
      </c>
      <c r="EG33" s="1">
        <v>413.77499999999998</v>
      </c>
      <c r="EH33" s="1">
        <v>394.60199999999998</v>
      </c>
      <c r="EI33" s="1">
        <v>395.03800000000001</v>
      </c>
      <c r="EJ33" s="1">
        <v>354.43799999999999</v>
      </c>
      <c r="EK33" s="1">
        <v>357.524</v>
      </c>
      <c r="EL33" s="1">
        <v>402.77699999999999</v>
      </c>
      <c r="EM33" s="1">
        <v>431.21699999999998</v>
      </c>
      <c r="EN33" s="1">
        <v>445.92500000000001</v>
      </c>
      <c r="EO33" s="1">
        <v>480.10500000000002</v>
      </c>
      <c r="EP33" s="1">
        <v>486.12</v>
      </c>
      <c r="EQ33" s="1">
        <v>485.87799999999999</v>
      </c>
      <c r="ER33" s="1">
        <v>487.38900000000001</v>
      </c>
      <c r="ES33" s="1">
        <v>500.13299999999998</v>
      </c>
      <c r="ET33" s="1">
        <v>520.51900000000001</v>
      </c>
      <c r="EU33" s="1">
        <v>525.54300000000001</v>
      </c>
      <c r="EV33" s="1">
        <v>542.274</v>
      </c>
      <c r="EW33" s="1">
        <v>578.01199999999994</v>
      </c>
      <c r="EX33" s="1">
        <v>660.745</v>
      </c>
      <c r="EY33" s="1">
        <v>670.86300000000006</v>
      </c>
      <c r="EZ33" s="1">
        <v>649.11</v>
      </c>
      <c r="FA33" s="1">
        <v>693.86599999999999</v>
      </c>
      <c r="FB33" s="1">
        <v>676.21699999999998</v>
      </c>
      <c r="FC33" s="1">
        <v>552.89200000000005</v>
      </c>
      <c r="FD33" s="1">
        <v>505.33100000000002</v>
      </c>
      <c r="FE33" s="1">
        <v>405.80500000000001</v>
      </c>
      <c r="FF33" s="1">
        <v>400.41800000000001</v>
      </c>
      <c r="FG33" s="1">
        <v>345.21699999999998</v>
      </c>
      <c r="FH33" s="1">
        <v>339.81099999999998</v>
      </c>
      <c r="FI33" s="1">
        <v>352.483</v>
      </c>
      <c r="FJ33" s="1">
        <v>283.85300000000001</v>
      </c>
      <c r="FK33" s="1">
        <v>254.476</v>
      </c>
      <c r="FL33" s="1">
        <v>244.32300000000001</v>
      </c>
      <c r="FM33" s="1">
        <v>252.386</v>
      </c>
      <c r="FN33" s="1">
        <v>268.13499999999999</v>
      </c>
      <c r="FO33" s="1">
        <v>262.90800000000002</v>
      </c>
      <c r="FP33" s="1">
        <v>239.53700000000001</v>
      </c>
      <c r="FQ33" s="1">
        <v>214.66900000000001</v>
      </c>
      <c r="FR33" s="1">
        <v>206.33</v>
      </c>
      <c r="FS33" s="1">
        <v>196.577</v>
      </c>
      <c r="FT33" s="1">
        <v>180.48599999999999</v>
      </c>
      <c r="FU33" s="1">
        <v>183.40600000000001</v>
      </c>
      <c r="FV33" s="1">
        <v>186.81299999999999</v>
      </c>
      <c r="FW33" s="1">
        <v>191.55799999999999</v>
      </c>
      <c r="FX33" s="1">
        <v>190.851</v>
      </c>
      <c r="FY33" s="1">
        <v>195.559</v>
      </c>
      <c r="FZ33" s="1">
        <v>200.56700000000001</v>
      </c>
      <c r="GA33" s="1">
        <v>199.881</v>
      </c>
      <c r="GB33" s="1">
        <v>203.28</v>
      </c>
      <c r="GC33" s="1">
        <v>204.119</v>
      </c>
      <c r="GD33" s="1">
        <v>202.22800000000001</v>
      </c>
      <c r="GE33" s="1">
        <v>199.56</v>
      </c>
      <c r="GF33" s="1">
        <v>204.23599999999999</v>
      </c>
      <c r="GG33" s="1">
        <v>207.71100000000001</v>
      </c>
      <c r="GH33" s="1">
        <v>218.68</v>
      </c>
      <c r="GI33" s="1">
        <v>218.98400000000001</v>
      </c>
      <c r="GJ33" s="1">
        <v>217.14400000000001</v>
      </c>
      <c r="GK33" s="1">
        <v>211.74799999999999</v>
      </c>
      <c r="GL33" s="1">
        <v>216.75899999999999</v>
      </c>
      <c r="GM33" s="1">
        <v>222.65899999999999</v>
      </c>
      <c r="GN33" s="1">
        <v>208.57300000000001</v>
      </c>
      <c r="GO33" s="1">
        <v>203.95500000000001</v>
      </c>
      <c r="GP33" s="1">
        <v>198.22499999999999</v>
      </c>
      <c r="GQ33" s="1">
        <v>198.881</v>
      </c>
      <c r="GR33" s="1">
        <v>196.86199999999999</v>
      </c>
      <c r="GS33" s="1">
        <v>202.733</v>
      </c>
      <c r="GT33" s="1">
        <v>216.86500000000001</v>
      </c>
      <c r="GU33" s="1">
        <v>222.261</v>
      </c>
      <c r="GV33" s="1">
        <v>220.745</v>
      </c>
      <c r="GW33" s="1">
        <v>219.72399999999999</v>
      </c>
      <c r="GX33" s="1">
        <v>222.53800000000001</v>
      </c>
      <c r="GY33" s="1">
        <v>222.404</v>
      </c>
      <c r="GZ33" s="1">
        <v>229.065</v>
      </c>
      <c r="HA33" s="1">
        <v>227.94300000000001</v>
      </c>
      <c r="HB33" s="1">
        <v>225.83699999999999</v>
      </c>
      <c r="HC33" s="1">
        <v>223.93199999999999</v>
      </c>
      <c r="HD33" s="1">
        <v>218.58099999999999</v>
      </c>
      <c r="HE33" s="1">
        <v>218.66800000000001</v>
      </c>
      <c r="HF33" s="1">
        <v>215.54599999999999</v>
      </c>
      <c r="HG33" s="1">
        <v>220.005</v>
      </c>
      <c r="HH33" s="1">
        <v>220.23400000000001</v>
      </c>
      <c r="HI33" s="1">
        <v>219.45699999999999</v>
      </c>
      <c r="HJ33" s="1">
        <v>223.07300000000001</v>
      </c>
      <c r="HK33" s="1">
        <v>222.607</v>
      </c>
      <c r="HL33" s="1">
        <v>223.91900000000001</v>
      </c>
      <c r="HM33" s="1">
        <v>226.65600000000001</v>
      </c>
      <c r="HN33" s="1">
        <v>227.209</v>
      </c>
      <c r="HO33" s="1">
        <v>229.608</v>
      </c>
      <c r="HP33" s="1">
        <v>234.48500000000001</v>
      </c>
      <c r="HQ33" s="1">
        <v>236.40299999999999</v>
      </c>
      <c r="HR33" s="1">
        <v>234.714</v>
      </c>
      <c r="HS33" s="1">
        <v>235.571</v>
      </c>
      <c r="HT33" s="1">
        <v>238.09800000000001</v>
      </c>
      <c r="HU33" s="1">
        <v>241.679</v>
      </c>
      <c r="HV33" s="1">
        <v>247.04900000000001</v>
      </c>
      <c r="HW33" s="1">
        <v>249.95</v>
      </c>
      <c r="HX33" s="1">
        <v>241.67500000000001</v>
      </c>
      <c r="HY33" s="1">
        <v>246.98</v>
      </c>
      <c r="HZ33" s="1">
        <v>249.93</v>
      </c>
      <c r="IA33" s="1">
        <v>249.47800000000001</v>
      </c>
      <c r="IB33" s="1">
        <v>248.029</v>
      </c>
      <c r="IC33" s="1">
        <v>264.89</v>
      </c>
      <c r="ID33" s="1">
        <v>275.08199999999999</v>
      </c>
      <c r="IE33" s="1">
        <v>273.73500000000001</v>
      </c>
      <c r="IF33" s="1">
        <v>275.56200000000001</v>
      </c>
      <c r="IG33" s="1">
        <v>269.39</v>
      </c>
      <c r="IH33" s="1">
        <v>267.15600000000001</v>
      </c>
      <c r="II33" s="1">
        <v>266.50299999999999</v>
      </c>
      <c r="IJ33" s="1">
        <v>264.59899999999999</v>
      </c>
      <c r="IK33" s="1">
        <v>260.86399999999998</v>
      </c>
      <c r="IL33" s="1">
        <v>254.697</v>
      </c>
      <c r="IM33" s="1">
        <v>254.459</v>
      </c>
      <c r="IN33" s="1">
        <v>250.11699999999999</v>
      </c>
      <c r="IO33" s="1">
        <v>243.49100000000001</v>
      </c>
      <c r="IP33" s="1">
        <v>246.01400000000001</v>
      </c>
      <c r="IQ33" s="1">
        <v>242.57599999999999</v>
      </c>
      <c r="IR33" s="1">
        <v>248.37700000000001</v>
      </c>
      <c r="IS33" s="1">
        <v>254.71299999999999</v>
      </c>
      <c r="IT33" s="1">
        <v>255.56</v>
      </c>
      <c r="IU33" s="1">
        <v>252.541</v>
      </c>
      <c r="IV33" s="1">
        <v>249.05199999999999</v>
      </c>
      <c r="IW33" s="1">
        <v>242.786</v>
      </c>
      <c r="IX33" s="1">
        <v>247.83500000000001</v>
      </c>
      <c r="IY33" s="1">
        <v>252.797</v>
      </c>
      <c r="IZ33" s="1">
        <v>255.15600000000001</v>
      </c>
      <c r="JA33" s="1">
        <v>260.56299999999999</v>
      </c>
      <c r="JB33" s="1">
        <v>263.28199999999998</v>
      </c>
      <c r="JC33" s="1"/>
      <c r="JD33" t="s">
        <v>45</v>
      </c>
    </row>
    <row r="34" spans="1:264" x14ac:dyDescent="0.25">
      <c r="A34" s="4" t="s">
        <v>31</v>
      </c>
      <c r="B34" t="s">
        <v>34</v>
      </c>
      <c r="C34" t="s">
        <v>37</v>
      </c>
      <c r="D34" t="s">
        <v>43</v>
      </c>
      <c r="F34" t="s">
        <v>39</v>
      </c>
      <c r="G34" s="3">
        <f ca="1">_xll.BDH(A34&amp;" corp",D34,TODAY()-365,TODAY(),"pcs="&amp;B34,"dir=h","dates=h","sort=r","fill=-","cols=86;rows=1")</f>
        <v>282.988</v>
      </c>
      <c r="H34" s="1">
        <v>286.05</v>
      </c>
      <c r="I34" s="1">
        <v>290.75900000000001</v>
      </c>
      <c r="J34" s="1">
        <v>282.98399999999998</v>
      </c>
      <c r="K34" s="1">
        <v>282.07900000000001</v>
      </c>
      <c r="L34" s="1">
        <v>272.81</v>
      </c>
      <c r="M34" s="1">
        <v>278.18299999999999</v>
      </c>
      <c r="N34" s="1">
        <v>277.52100000000002</v>
      </c>
      <c r="O34" s="1">
        <v>277.935</v>
      </c>
      <c r="P34" s="1">
        <v>283.51600000000002</v>
      </c>
      <c r="Q34" s="1">
        <v>290.83300000000003</v>
      </c>
      <c r="R34" s="1">
        <v>299.38799999999998</v>
      </c>
      <c r="S34" s="1">
        <v>294.387</v>
      </c>
      <c r="T34" s="1">
        <v>300.68700000000001</v>
      </c>
      <c r="U34" s="1">
        <v>311.56299999999999</v>
      </c>
      <c r="V34" s="1">
        <v>321.93200000000002</v>
      </c>
      <c r="W34" s="1">
        <v>333.01600000000002</v>
      </c>
      <c r="X34" s="1">
        <v>328.589</v>
      </c>
      <c r="Y34" s="1">
        <v>320.44900000000001</v>
      </c>
      <c r="Z34" s="1">
        <v>311.10199999999998</v>
      </c>
      <c r="AA34" s="1">
        <v>310.49</v>
      </c>
      <c r="AB34" s="1">
        <v>298.714</v>
      </c>
      <c r="AC34" s="1">
        <v>299.97899999999998</v>
      </c>
      <c r="AD34" s="1">
        <v>299.23200000000003</v>
      </c>
      <c r="AE34" s="1">
        <v>301.97699999999998</v>
      </c>
      <c r="AF34" s="1">
        <v>303.11399999999998</v>
      </c>
      <c r="AG34" s="1">
        <v>301.601</v>
      </c>
      <c r="AH34" s="1">
        <v>296.38299999999998</v>
      </c>
      <c r="AI34" s="1">
        <v>295.51799999999997</v>
      </c>
      <c r="AJ34" s="1">
        <v>292.459</v>
      </c>
      <c r="AK34" s="1">
        <v>286.529</v>
      </c>
      <c r="AL34" s="1">
        <v>285.02</v>
      </c>
      <c r="AM34" s="1">
        <v>289.57100000000003</v>
      </c>
      <c r="AN34" s="1">
        <v>284.27600000000001</v>
      </c>
      <c r="AO34" s="1">
        <v>286.22899999999998</v>
      </c>
      <c r="AP34" s="1">
        <v>288.76900000000001</v>
      </c>
      <c r="AQ34" s="1">
        <v>288.45100000000002</v>
      </c>
      <c r="AR34" s="1">
        <v>284.31700000000001</v>
      </c>
      <c r="AS34" s="1">
        <v>279.952</v>
      </c>
      <c r="AT34" s="1">
        <v>280.827</v>
      </c>
      <c r="AU34" s="1">
        <v>282.89600000000002</v>
      </c>
      <c r="AV34" s="1">
        <v>287.70499999999998</v>
      </c>
      <c r="AW34" s="1">
        <v>289.84800000000001</v>
      </c>
      <c r="AX34" s="1">
        <v>289.803</v>
      </c>
      <c r="AY34" s="1">
        <v>288.40499999999997</v>
      </c>
      <c r="AZ34" s="1">
        <v>284.17099999999999</v>
      </c>
      <c r="BA34" s="1">
        <v>282.14800000000002</v>
      </c>
      <c r="BB34" s="1">
        <v>272.45100000000002</v>
      </c>
      <c r="BC34" s="1">
        <v>271.161</v>
      </c>
      <c r="BD34" s="1">
        <v>274.678</v>
      </c>
      <c r="BE34" s="1">
        <v>280.59100000000001</v>
      </c>
      <c r="BF34" s="1">
        <v>287.08199999999999</v>
      </c>
      <c r="BG34" s="1">
        <v>291.68700000000001</v>
      </c>
      <c r="BH34" s="1">
        <v>293.96699999999998</v>
      </c>
      <c r="BI34" s="1">
        <v>306.25400000000002</v>
      </c>
      <c r="BJ34" s="1">
        <v>308.81400000000002</v>
      </c>
      <c r="BK34" s="1">
        <v>307.56099999999998</v>
      </c>
      <c r="BL34" s="1">
        <v>308.48099999999999</v>
      </c>
      <c r="BM34" s="1">
        <v>299.61700000000002</v>
      </c>
      <c r="BN34" s="1">
        <v>303.82400000000001</v>
      </c>
      <c r="BO34" s="1">
        <v>299.66699999999997</v>
      </c>
      <c r="BP34" s="1">
        <v>302.00200000000001</v>
      </c>
      <c r="BQ34" s="1">
        <v>305.53800000000001</v>
      </c>
      <c r="BR34" s="1">
        <v>309.11700000000002</v>
      </c>
      <c r="BS34" s="1">
        <v>312.08199999999999</v>
      </c>
      <c r="BT34" s="1">
        <v>320.76900000000001</v>
      </c>
      <c r="BU34" s="1">
        <v>326.786</v>
      </c>
      <c r="BV34" s="1">
        <v>334.56400000000002</v>
      </c>
      <c r="BW34" s="1">
        <v>335.37200000000001</v>
      </c>
      <c r="BX34" s="1">
        <v>344.87799999999999</v>
      </c>
      <c r="BY34" s="1">
        <v>347.29199999999997</v>
      </c>
      <c r="BZ34" s="1">
        <v>346.91300000000001</v>
      </c>
      <c r="CA34" s="1">
        <v>347.71800000000002</v>
      </c>
      <c r="CB34" s="1">
        <v>345.01799999999997</v>
      </c>
      <c r="CC34" s="1">
        <v>340.39699999999999</v>
      </c>
      <c r="CD34" s="1">
        <v>336.02699999999999</v>
      </c>
      <c r="CE34" s="1">
        <v>344.25200000000001</v>
      </c>
      <c r="CF34" s="1">
        <v>346.33600000000001</v>
      </c>
      <c r="CG34" s="1">
        <v>356.71899999999999</v>
      </c>
      <c r="CH34" s="1">
        <v>367.26100000000002</v>
      </c>
      <c r="CI34" s="1">
        <v>373.06700000000001</v>
      </c>
      <c r="CJ34" s="1">
        <v>376.26799999999997</v>
      </c>
      <c r="CK34" s="1">
        <v>375.29500000000002</v>
      </c>
      <c r="CL34" s="1">
        <v>377.65600000000001</v>
      </c>
      <c r="CM34" s="1">
        <v>356.779</v>
      </c>
      <c r="CN34" s="1">
        <v>366.154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t="s">
        <v>45</v>
      </c>
    </row>
    <row r="35" spans="1:264" x14ac:dyDescent="0.25">
      <c r="A35" s="4" t="s">
        <v>32</v>
      </c>
      <c r="B35" t="s">
        <v>34</v>
      </c>
      <c r="C35" t="s">
        <v>37</v>
      </c>
      <c r="D35" t="s">
        <v>43</v>
      </c>
      <c r="F35" t="s">
        <v>39</v>
      </c>
      <c r="G35" s="3">
        <f ca="1">_xll.BDH(A35&amp;" corp",D35,TODAY()-365,TODAY(),"pcs="&amp;B35,"dir=h","dates=h","sort=r","fill=-","cols=39;rows=1")</f>
        <v>311.48700000000002</v>
      </c>
      <c r="H35" s="1">
        <v>315.54700000000003</v>
      </c>
      <c r="I35" s="1">
        <v>316.58199999999999</v>
      </c>
      <c r="J35" s="1">
        <v>310.28199999999998</v>
      </c>
      <c r="K35" s="1">
        <v>307.01299999999998</v>
      </c>
      <c r="L35" s="1">
        <v>305.88200000000001</v>
      </c>
      <c r="M35" s="1">
        <v>304.85599999999999</v>
      </c>
      <c r="N35" s="1">
        <v>301.42399999999998</v>
      </c>
      <c r="O35" s="1">
        <v>295.94900000000001</v>
      </c>
      <c r="P35" s="1">
        <v>294.83</v>
      </c>
      <c r="Q35" s="1">
        <v>298.63600000000002</v>
      </c>
      <c r="R35" s="1">
        <v>304.10899999999998</v>
      </c>
      <c r="S35" s="1">
        <v>303.81900000000002</v>
      </c>
      <c r="T35" s="1">
        <v>310.11</v>
      </c>
      <c r="U35" s="1">
        <v>324.88600000000002</v>
      </c>
      <c r="V35" s="1">
        <v>331.49200000000002</v>
      </c>
      <c r="W35" s="1">
        <v>335.21</v>
      </c>
      <c r="X35" s="1">
        <v>327.084</v>
      </c>
      <c r="Y35" s="1">
        <v>316.8</v>
      </c>
      <c r="Z35" s="1">
        <v>318.214</v>
      </c>
      <c r="AA35" s="1">
        <v>317.27300000000002</v>
      </c>
      <c r="AB35" s="1">
        <v>307.577</v>
      </c>
      <c r="AC35" s="1">
        <v>308.01499999999999</v>
      </c>
      <c r="AD35" s="1">
        <v>308.27</v>
      </c>
      <c r="AE35" s="1">
        <v>308.57799999999997</v>
      </c>
      <c r="AF35" s="1">
        <v>307.57900000000001</v>
      </c>
      <c r="AG35" s="1">
        <v>306.20400000000001</v>
      </c>
      <c r="AH35" s="1">
        <v>299.80900000000003</v>
      </c>
      <c r="AI35" s="1">
        <v>305.72899999999998</v>
      </c>
      <c r="AJ35" s="1">
        <v>307.12700000000001</v>
      </c>
      <c r="AK35" s="1">
        <v>302.01100000000002</v>
      </c>
      <c r="AL35" s="1">
        <v>301.13</v>
      </c>
      <c r="AM35" s="1">
        <v>298.90899999999999</v>
      </c>
      <c r="AN35" s="1">
        <v>296.64299999999997</v>
      </c>
      <c r="AO35" s="1">
        <v>298.11200000000002</v>
      </c>
      <c r="AP35" s="1">
        <v>296.49900000000002</v>
      </c>
      <c r="AQ35" s="1">
        <v>297.82400000000001</v>
      </c>
      <c r="AR35" s="1">
        <v>296.202</v>
      </c>
      <c r="AS35" s="1">
        <v>293.70800000000003</v>
      </c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t="s">
        <v>45</v>
      </c>
    </row>
    <row r="36" spans="1:264" x14ac:dyDescent="0.25">
      <c r="A36" s="4"/>
      <c r="G36" s="3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t="s">
        <v>45</v>
      </c>
    </row>
    <row r="37" spans="1:264" x14ac:dyDescent="0.25">
      <c r="A37" s="4" t="s">
        <v>44</v>
      </c>
      <c r="G37" s="3">
        <f ca="1">AVERAGE(G5:G35)</f>
        <v>284.55099999999993</v>
      </c>
      <c r="H37" s="3">
        <f t="shared" ref="H37:BS37" si="8">AVERAGE(H5:H35)</f>
        <v>288.02741935483874</v>
      </c>
      <c r="I37" s="3">
        <f t="shared" si="8"/>
        <v>290.65612903225809</v>
      </c>
      <c r="J37" s="3">
        <f t="shared" si="8"/>
        <v>282.01367741935485</v>
      </c>
      <c r="K37" s="3">
        <f t="shared" si="8"/>
        <v>279.22803225806456</v>
      </c>
      <c r="L37" s="3">
        <f t="shared" si="8"/>
        <v>277.90664516129033</v>
      </c>
      <c r="M37" s="3">
        <f t="shared" si="8"/>
        <v>278.03145161290325</v>
      </c>
      <c r="N37" s="3">
        <f t="shared" si="8"/>
        <v>276.14025806451605</v>
      </c>
      <c r="O37" s="3">
        <f t="shared" si="8"/>
        <v>272.06845161290317</v>
      </c>
      <c r="P37" s="3">
        <f t="shared" si="8"/>
        <v>272.74683870967738</v>
      </c>
      <c r="Q37" s="3">
        <f t="shared" si="8"/>
        <v>279.69809677419352</v>
      </c>
      <c r="R37" s="3">
        <f t="shared" si="8"/>
        <v>285.76364516129041</v>
      </c>
      <c r="S37" s="3">
        <f t="shared" si="8"/>
        <v>288.28839999999997</v>
      </c>
      <c r="T37" s="3">
        <f t="shared" si="8"/>
        <v>293.73336666666665</v>
      </c>
      <c r="U37" s="3">
        <f t="shared" si="8"/>
        <v>301.59663333333333</v>
      </c>
      <c r="V37" s="3">
        <f t="shared" si="8"/>
        <v>306.39206666666666</v>
      </c>
      <c r="W37" s="3">
        <f t="shared" si="8"/>
        <v>310.98449999999997</v>
      </c>
      <c r="X37" s="3">
        <f t="shared" si="8"/>
        <v>303.72706666666664</v>
      </c>
      <c r="Y37" s="3">
        <f t="shared" si="8"/>
        <v>293.37229999999994</v>
      </c>
      <c r="Z37" s="3">
        <f t="shared" si="8"/>
        <v>294.43099999999998</v>
      </c>
      <c r="AA37" s="3">
        <f t="shared" si="8"/>
        <v>293.54373333333331</v>
      </c>
      <c r="AB37" s="3">
        <f t="shared" si="8"/>
        <v>279.60333333333335</v>
      </c>
      <c r="AC37" s="3">
        <f t="shared" si="8"/>
        <v>281.66889999999995</v>
      </c>
      <c r="AD37" s="3">
        <f t="shared" si="8"/>
        <v>283.3347</v>
      </c>
      <c r="AE37" s="3">
        <f t="shared" si="8"/>
        <v>287.74276666666668</v>
      </c>
      <c r="AF37" s="3">
        <f t="shared" si="8"/>
        <v>289.34426666666667</v>
      </c>
      <c r="AG37" s="3">
        <f t="shared" si="8"/>
        <v>286.21606666666668</v>
      </c>
      <c r="AH37" s="3">
        <f t="shared" si="8"/>
        <v>280.32460000000003</v>
      </c>
      <c r="AI37" s="3">
        <f t="shared" si="8"/>
        <v>282.45483333333334</v>
      </c>
      <c r="AJ37" s="3">
        <f t="shared" si="8"/>
        <v>280.30006666666668</v>
      </c>
      <c r="AK37" s="3">
        <f t="shared" si="8"/>
        <v>275.33226666666661</v>
      </c>
      <c r="AL37" s="3">
        <f t="shared" si="8"/>
        <v>275.05896666666666</v>
      </c>
      <c r="AM37" s="3">
        <f t="shared" si="8"/>
        <v>277.56225000000001</v>
      </c>
      <c r="AN37" s="3">
        <f t="shared" si="8"/>
        <v>277.40139285714287</v>
      </c>
      <c r="AO37" s="3">
        <f t="shared" si="8"/>
        <v>278.51807142857132</v>
      </c>
      <c r="AP37" s="3">
        <f t="shared" si="8"/>
        <v>277.46832142857141</v>
      </c>
      <c r="AQ37" s="3">
        <f t="shared" si="8"/>
        <v>278.01857142857142</v>
      </c>
      <c r="AR37" s="3">
        <f t="shared" si="8"/>
        <v>276.37457142857141</v>
      </c>
      <c r="AS37" s="3">
        <f t="shared" si="8"/>
        <v>272.59539285714288</v>
      </c>
      <c r="AT37" s="3">
        <f t="shared" si="8"/>
        <v>270.40262962962959</v>
      </c>
      <c r="AU37" s="3">
        <f t="shared" si="8"/>
        <v>275.73848148148159</v>
      </c>
      <c r="AV37" s="3">
        <f t="shared" si="8"/>
        <v>280.12648148148145</v>
      </c>
      <c r="AW37" s="3">
        <f t="shared" si="8"/>
        <v>280.48766666666671</v>
      </c>
      <c r="AX37" s="3">
        <f t="shared" si="8"/>
        <v>278.51137037037034</v>
      </c>
      <c r="AY37" s="3">
        <f t="shared" si="8"/>
        <v>276.67070370370362</v>
      </c>
      <c r="AZ37" s="3">
        <f t="shared" si="8"/>
        <v>273.93900000000002</v>
      </c>
      <c r="BA37" s="3">
        <f t="shared" si="8"/>
        <v>269.16192592592591</v>
      </c>
      <c r="BB37" s="3">
        <f t="shared" si="8"/>
        <v>265.31133333333332</v>
      </c>
      <c r="BC37" s="3">
        <f t="shared" si="8"/>
        <v>267.56133333333338</v>
      </c>
      <c r="BD37" s="3">
        <f t="shared" si="8"/>
        <v>272.01188888888885</v>
      </c>
      <c r="BE37" s="3">
        <f t="shared" si="8"/>
        <v>281.67074074074071</v>
      </c>
      <c r="BF37" s="3">
        <f t="shared" si="8"/>
        <v>284.87399999999997</v>
      </c>
      <c r="BG37" s="3">
        <f t="shared" si="8"/>
        <v>290.29533333333336</v>
      </c>
      <c r="BH37" s="3">
        <f t="shared" si="8"/>
        <v>292.94296296296301</v>
      </c>
      <c r="BI37" s="3">
        <f t="shared" si="8"/>
        <v>301.15914814814818</v>
      </c>
      <c r="BJ37" s="3">
        <f t="shared" si="8"/>
        <v>303.29688888888887</v>
      </c>
      <c r="BK37" s="3">
        <f t="shared" si="8"/>
        <v>302.0568148148148</v>
      </c>
      <c r="BL37" s="3">
        <f t="shared" si="8"/>
        <v>299.87718518518517</v>
      </c>
      <c r="BM37" s="3">
        <f t="shared" si="8"/>
        <v>290.48585185185181</v>
      </c>
      <c r="BN37" s="3">
        <f t="shared" si="8"/>
        <v>288.68103703703702</v>
      </c>
      <c r="BO37" s="3">
        <f t="shared" si="8"/>
        <v>285.11307407407412</v>
      </c>
      <c r="BP37" s="3">
        <f t="shared" si="8"/>
        <v>283.56285185185192</v>
      </c>
      <c r="BQ37" s="3">
        <f t="shared" si="8"/>
        <v>285.80229629629633</v>
      </c>
      <c r="BR37" s="3">
        <f t="shared" si="8"/>
        <v>287.38407407407408</v>
      </c>
      <c r="BS37" s="3">
        <f t="shared" si="8"/>
        <v>286.18970370370369</v>
      </c>
      <c r="BT37" s="3">
        <f t="shared" ref="BT37:EE37" si="9">AVERAGE(BT5:BT35)</f>
        <v>300.95266666666663</v>
      </c>
      <c r="BU37" s="3">
        <f t="shared" si="9"/>
        <v>311.84270370370365</v>
      </c>
      <c r="BV37" s="3">
        <f t="shared" si="9"/>
        <v>317.61019230769227</v>
      </c>
      <c r="BW37" s="3">
        <f t="shared" si="9"/>
        <v>318.52273076923069</v>
      </c>
      <c r="BX37" s="3">
        <f t="shared" si="9"/>
        <v>323.27211538461535</v>
      </c>
      <c r="BY37" s="3">
        <f t="shared" si="9"/>
        <v>323.42465384615383</v>
      </c>
      <c r="BZ37" s="3">
        <f t="shared" si="9"/>
        <v>327.18411538461538</v>
      </c>
      <c r="CA37" s="3">
        <f t="shared" si="9"/>
        <v>323.21323076923079</v>
      </c>
      <c r="CB37" s="3">
        <f t="shared" si="9"/>
        <v>319.97638461538457</v>
      </c>
      <c r="CC37" s="3">
        <f t="shared" si="9"/>
        <v>315.72715384615395</v>
      </c>
      <c r="CD37" s="3">
        <f t="shared" si="9"/>
        <v>315.99926923076924</v>
      </c>
      <c r="CE37" s="3">
        <f t="shared" si="9"/>
        <v>322.70903846153846</v>
      </c>
      <c r="CF37" s="3">
        <f t="shared" si="9"/>
        <v>325.0221153846154</v>
      </c>
      <c r="CG37" s="3">
        <f t="shared" si="9"/>
        <v>329.77761538461533</v>
      </c>
      <c r="CH37" s="3">
        <f t="shared" si="9"/>
        <v>338.15669230769231</v>
      </c>
      <c r="CI37" s="3">
        <f t="shared" si="9"/>
        <v>343.17611538461529</v>
      </c>
      <c r="CJ37" s="3">
        <f t="shared" si="9"/>
        <v>345.16430769230772</v>
      </c>
      <c r="CK37" s="3">
        <f t="shared" si="9"/>
        <v>344.01365384615383</v>
      </c>
      <c r="CL37" s="3">
        <f t="shared" si="9"/>
        <v>341.34053846153853</v>
      </c>
      <c r="CM37" s="3">
        <f t="shared" si="9"/>
        <v>336.93380769230771</v>
      </c>
      <c r="CN37" s="3">
        <f t="shared" si="9"/>
        <v>340.77496000000008</v>
      </c>
      <c r="CO37" s="3">
        <f t="shared" si="9"/>
        <v>327.41190909090909</v>
      </c>
      <c r="CP37" s="3">
        <f t="shared" si="9"/>
        <v>324.832619047619</v>
      </c>
      <c r="CQ37" s="3">
        <f t="shared" si="9"/>
        <v>314.6599523809524</v>
      </c>
      <c r="CR37" s="3">
        <f t="shared" si="9"/>
        <v>305.6104285714286</v>
      </c>
      <c r="CS37" s="3">
        <f t="shared" si="9"/>
        <v>323.78404761904767</v>
      </c>
      <c r="CT37" s="3">
        <f t="shared" si="9"/>
        <v>319.47504761904759</v>
      </c>
      <c r="CU37" s="3">
        <f t="shared" si="9"/>
        <v>316.36130000000003</v>
      </c>
      <c r="CV37" s="3">
        <f t="shared" si="9"/>
        <v>291.19844999999998</v>
      </c>
      <c r="CW37" s="3">
        <f t="shared" si="9"/>
        <v>273.00670000000002</v>
      </c>
      <c r="CX37" s="3">
        <f t="shared" si="9"/>
        <v>257.80405000000002</v>
      </c>
      <c r="CY37" s="3">
        <f t="shared" si="9"/>
        <v>266.25685000000004</v>
      </c>
      <c r="CZ37" s="3">
        <f t="shared" si="9"/>
        <v>291.06380000000007</v>
      </c>
      <c r="DA37" s="3">
        <f t="shared" si="9"/>
        <v>300.67444999999998</v>
      </c>
      <c r="DB37" s="3">
        <f t="shared" si="9"/>
        <v>314.49459999999999</v>
      </c>
      <c r="DC37" s="3">
        <f t="shared" si="9"/>
        <v>316.45319999999998</v>
      </c>
      <c r="DD37" s="3">
        <f t="shared" si="9"/>
        <v>317.08970000000011</v>
      </c>
      <c r="DE37" s="3">
        <f t="shared" si="9"/>
        <v>309.18019999999996</v>
      </c>
      <c r="DF37" s="3">
        <f t="shared" si="9"/>
        <v>308.14330000000001</v>
      </c>
      <c r="DG37" s="3">
        <f t="shared" si="9"/>
        <v>327.73925000000003</v>
      </c>
      <c r="DH37" s="3">
        <f t="shared" si="9"/>
        <v>342.08559999999994</v>
      </c>
      <c r="DI37" s="3">
        <f t="shared" si="9"/>
        <v>346.80049999999994</v>
      </c>
      <c r="DJ37" s="3">
        <f t="shared" si="9"/>
        <v>348.54275000000001</v>
      </c>
      <c r="DK37" s="3">
        <f t="shared" si="9"/>
        <v>354.30384999999995</v>
      </c>
      <c r="DL37" s="3">
        <f t="shared" si="9"/>
        <v>364.64125000000001</v>
      </c>
      <c r="DM37" s="3">
        <f t="shared" si="9"/>
        <v>378.84555</v>
      </c>
      <c r="DN37" s="3">
        <f t="shared" si="9"/>
        <v>388.4165999999999</v>
      </c>
      <c r="DO37" s="3">
        <f t="shared" si="9"/>
        <v>388.58269999999993</v>
      </c>
      <c r="DP37" s="3">
        <f t="shared" si="9"/>
        <v>378.03579999999994</v>
      </c>
      <c r="DQ37" s="3">
        <f t="shared" si="9"/>
        <v>370.19084999999995</v>
      </c>
      <c r="DR37" s="3">
        <f t="shared" si="9"/>
        <v>367.2845999999999</v>
      </c>
      <c r="DS37" s="3">
        <f t="shared" si="9"/>
        <v>369.46500000000003</v>
      </c>
      <c r="DT37" s="3">
        <f t="shared" si="9"/>
        <v>370.90285000000006</v>
      </c>
      <c r="DU37" s="3">
        <f t="shared" si="9"/>
        <v>378.03724999999997</v>
      </c>
      <c r="DV37" s="3">
        <f t="shared" si="9"/>
        <v>384.63569999999993</v>
      </c>
      <c r="DW37" s="3">
        <f t="shared" si="9"/>
        <v>387.21160000000009</v>
      </c>
      <c r="DX37" s="3">
        <f t="shared" si="9"/>
        <v>374.84260000000006</v>
      </c>
      <c r="DY37" s="3">
        <f t="shared" si="9"/>
        <v>364.92955000000001</v>
      </c>
      <c r="DZ37" s="3">
        <f t="shared" si="9"/>
        <v>355.16984999999994</v>
      </c>
      <c r="EA37" s="3">
        <f t="shared" si="9"/>
        <v>345.15290000000005</v>
      </c>
      <c r="EB37" s="3">
        <f t="shared" si="9"/>
        <v>337.74314999999996</v>
      </c>
      <c r="EC37" s="3">
        <f t="shared" si="9"/>
        <v>352.61775000000006</v>
      </c>
      <c r="ED37" s="3">
        <f t="shared" si="9"/>
        <v>356.56434999999999</v>
      </c>
      <c r="EE37" s="3">
        <f t="shared" si="9"/>
        <v>368.51000000000005</v>
      </c>
      <c r="EF37" s="3">
        <f t="shared" ref="EF37:GQ37" si="10">AVERAGE(EF5:EF35)</f>
        <v>371.30489999999998</v>
      </c>
      <c r="EG37" s="3">
        <f t="shared" si="10"/>
        <v>358.64195000000001</v>
      </c>
      <c r="EH37" s="3">
        <f t="shared" si="10"/>
        <v>353.57425000000001</v>
      </c>
      <c r="EI37" s="3">
        <f t="shared" si="10"/>
        <v>352.51620000000003</v>
      </c>
      <c r="EJ37" s="3">
        <f t="shared" si="10"/>
        <v>334.97994999999997</v>
      </c>
      <c r="EK37" s="3">
        <f t="shared" si="10"/>
        <v>333.18645000000004</v>
      </c>
      <c r="EL37" s="3">
        <f t="shared" si="10"/>
        <v>366.23219999999992</v>
      </c>
      <c r="EM37" s="3">
        <f t="shared" si="10"/>
        <v>397.60094999999995</v>
      </c>
      <c r="EN37" s="3">
        <f t="shared" si="10"/>
        <v>416.99279999999999</v>
      </c>
      <c r="EO37" s="3">
        <f t="shared" si="10"/>
        <v>445.40344999999996</v>
      </c>
      <c r="EP37" s="3">
        <f t="shared" si="10"/>
        <v>455.6486000000001</v>
      </c>
      <c r="EQ37" s="3">
        <f t="shared" si="10"/>
        <v>455.48084999999992</v>
      </c>
      <c r="ER37" s="3">
        <f t="shared" si="10"/>
        <v>454.49340000000001</v>
      </c>
      <c r="ES37" s="3">
        <f t="shared" si="10"/>
        <v>458.58995000000004</v>
      </c>
      <c r="ET37" s="3">
        <f t="shared" si="10"/>
        <v>465.37579999999997</v>
      </c>
      <c r="EU37" s="3">
        <f t="shared" si="10"/>
        <v>464.40594999999985</v>
      </c>
      <c r="EV37" s="3">
        <f t="shared" si="10"/>
        <v>467.83139999999992</v>
      </c>
      <c r="EW37" s="3">
        <f t="shared" si="10"/>
        <v>479.53635000000003</v>
      </c>
      <c r="EX37" s="3">
        <f t="shared" si="10"/>
        <v>538.2949000000001</v>
      </c>
      <c r="EY37" s="3">
        <f t="shared" si="10"/>
        <v>563.18534999999997</v>
      </c>
      <c r="EZ37" s="3">
        <f t="shared" si="10"/>
        <v>547.40780000000007</v>
      </c>
      <c r="FA37" s="3">
        <f t="shared" si="10"/>
        <v>565.28</v>
      </c>
      <c r="FB37" s="3">
        <f t="shared" si="10"/>
        <v>562.62860000000001</v>
      </c>
      <c r="FC37" s="3">
        <f t="shared" si="10"/>
        <v>500.94759999999997</v>
      </c>
      <c r="FD37" s="3">
        <f t="shared" si="10"/>
        <v>437.56230000000005</v>
      </c>
      <c r="FE37" s="3">
        <f t="shared" si="10"/>
        <v>372.58260000000007</v>
      </c>
      <c r="FF37" s="3">
        <f t="shared" si="10"/>
        <v>355.36649999999997</v>
      </c>
      <c r="FG37" s="3">
        <f t="shared" si="10"/>
        <v>312.70400000000001</v>
      </c>
      <c r="FH37" s="3">
        <f t="shared" si="10"/>
        <v>303.04264999999998</v>
      </c>
      <c r="FI37" s="3">
        <f t="shared" si="10"/>
        <v>310.89389999999997</v>
      </c>
      <c r="FJ37" s="3">
        <f t="shared" si="10"/>
        <v>267.60545000000002</v>
      </c>
      <c r="FK37" s="3">
        <f t="shared" si="10"/>
        <v>238.95759999999996</v>
      </c>
      <c r="FL37" s="3">
        <f t="shared" si="10"/>
        <v>229.18980000000005</v>
      </c>
      <c r="FM37" s="3">
        <f t="shared" si="10"/>
        <v>232.53880000000004</v>
      </c>
      <c r="FN37" s="3">
        <f t="shared" si="10"/>
        <v>247.88740000000001</v>
      </c>
      <c r="FO37" s="3">
        <f t="shared" si="10"/>
        <v>248.71145000000007</v>
      </c>
      <c r="FP37" s="3">
        <f t="shared" si="10"/>
        <v>230.4966</v>
      </c>
      <c r="FQ37" s="3">
        <f t="shared" si="10"/>
        <v>214.19974999999999</v>
      </c>
      <c r="FR37" s="3">
        <f t="shared" si="10"/>
        <v>208.32669999999999</v>
      </c>
      <c r="FS37" s="3">
        <f t="shared" si="10"/>
        <v>200.78725000000003</v>
      </c>
      <c r="FT37" s="3">
        <f t="shared" si="10"/>
        <v>186.69154999999998</v>
      </c>
      <c r="FU37" s="3">
        <f t="shared" si="10"/>
        <v>186.39235000000002</v>
      </c>
      <c r="FV37" s="3">
        <f t="shared" si="10"/>
        <v>187.78969999999998</v>
      </c>
      <c r="FW37" s="3">
        <f t="shared" si="10"/>
        <v>189.55610000000001</v>
      </c>
      <c r="FX37" s="3">
        <f t="shared" si="10"/>
        <v>188.84375000000003</v>
      </c>
      <c r="FY37" s="3">
        <f t="shared" si="10"/>
        <v>189.91500000000002</v>
      </c>
      <c r="FZ37" s="3">
        <f t="shared" si="10"/>
        <v>191.67845</v>
      </c>
      <c r="GA37" s="3">
        <f t="shared" si="10"/>
        <v>190.32554999999996</v>
      </c>
      <c r="GB37" s="3">
        <f t="shared" si="10"/>
        <v>192.27349999999996</v>
      </c>
      <c r="GC37" s="3">
        <f t="shared" si="10"/>
        <v>194.78665000000001</v>
      </c>
      <c r="GD37" s="3">
        <f t="shared" si="10"/>
        <v>192.49025</v>
      </c>
      <c r="GE37" s="3">
        <f t="shared" si="10"/>
        <v>191.36431578947369</v>
      </c>
      <c r="GF37" s="3">
        <f t="shared" si="10"/>
        <v>194.06652631578947</v>
      </c>
      <c r="GG37" s="3">
        <f t="shared" si="10"/>
        <v>199.76384210526319</v>
      </c>
      <c r="GH37" s="3">
        <f t="shared" si="10"/>
        <v>208.16952631578945</v>
      </c>
      <c r="GI37" s="3">
        <f t="shared" si="10"/>
        <v>209.30563157894736</v>
      </c>
      <c r="GJ37" s="3">
        <f t="shared" si="10"/>
        <v>207.0515789473684</v>
      </c>
      <c r="GK37" s="3">
        <f t="shared" si="10"/>
        <v>203.00221052631579</v>
      </c>
      <c r="GL37" s="3">
        <f t="shared" si="10"/>
        <v>201.74894444444445</v>
      </c>
      <c r="GM37" s="3">
        <f t="shared" si="10"/>
        <v>206.1312777777778</v>
      </c>
      <c r="GN37" s="3">
        <f t="shared" si="10"/>
        <v>197.55205555555551</v>
      </c>
      <c r="GO37" s="3">
        <f t="shared" si="10"/>
        <v>191.10305555555558</v>
      </c>
      <c r="GP37" s="3">
        <f t="shared" si="10"/>
        <v>185.12633333333335</v>
      </c>
      <c r="GQ37" s="3">
        <f t="shared" si="10"/>
        <v>183.53922222222224</v>
      </c>
      <c r="GR37" s="3">
        <f t="shared" ref="GR37:JC37" si="11">AVERAGE(GR5:GR35)</f>
        <v>182.26088888888887</v>
      </c>
      <c r="GS37" s="3">
        <f t="shared" si="11"/>
        <v>185.10622222222227</v>
      </c>
      <c r="GT37" s="3">
        <f t="shared" si="11"/>
        <v>191.42944444444447</v>
      </c>
      <c r="GU37" s="3">
        <f t="shared" si="11"/>
        <v>195.35466666666665</v>
      </c>
      <c r="GV37" s="3">
        <f t="shared" si="11"/>
        <v>195.46527777777783</v>
      </c>
      <c r="GW37" s="3">
        <f t="shared" si="11"/>
        <v>195.41772222222227</v>
      </c>
      <c r="GX37" s="3">
        <f t="shared" si="11"/>
        <v>197.6696111111111</v>
      </c>
      <c r="GY37" s="3">
        <f t="shared" si="11"/>
        <v>198.63661111111111</v>
      </c>
      <c r="GZ37" s="3">
        <f t="shared" si="11"/>
        <v>202.78649999999999</v>
      </c>
      <c r="HA37" s="3">
        <f t="shared" si="11"/>
        <v>202.9026111111111</v>
      </c>
      <c r="HB37" s="3">
        <f t="shared" si="11"/>
        <v>200.26161111111111</v>
      </c>
      <c r="HC37" s="3">
        <f t="shared" si="11"/>
        <v>197.17083333333329</v>
      </c>
      <c r="HD37" s="3">
        <f t="shared" si="11"/>
        <v>193.04655555555556</v>
      </c>
      <c r="HE37" s="3">
        <f t="shared" si="11"/>
        <v>190.71838888888888</v>
      </c>
      <c r="HF37" s="3">
        <f t="shared" si="11"/>
        <v>189.52527777777777</v>
      </c>
      <c r="HG37" s="3">
        <f t="shared" si="11"/>
        <v>192.51533333333336</v>
      </c>
      <c r="HH37" s="3">
        <f t="shared" si="11"/>
        <v>193.09316666666666</v>
      </c>
      <c r="HI37" s="3">
        <f t="shared" si="11"/>
        <v>193.17933333333332</v>
      </c>
      <c r="HJ37" s="3">
        <f t="shared" si="11"/>
        <v>195.39977777777779</v>
      </c>
      <c r="HK37" s="3">
        <f t="shared" si="11"/>
        <v>195.90716666666665</v>
      </c>
      <c r="HL37" s="3">
        <f t="shared" si="11"/>
        <v>197.19561111111113</v>
      </c>
      <c r="HM37" s="3">
        <f t="shared" si="11"/>
        <v>199.94538888888891</v>
      </c>
      <c r="HN37" s="3">
        <f t="shared" si="11"/>
        <v>201.0817222222222</v>
      </c>
      <c r="HO37" s="3">
        <f t="shared" si="11"/>
        <v>202.35150000000004</v>
      </c>
      <c r="HP37" s="3">
        <f t="shared" si="11"/>
        <v>206.24966666666671</v>
      </c>
      <c r="HQ37" s="3">
        <f t="shared" si="11"/>
        <v>208.65522222222222</v>
      </c>
      <c r="HR37" s="3">
        <f t="shared" si="11"/>
        <v>207.61900000000003</v>
      </c>
      <c r="HS37" s="3">
        <f t="shared" si="11"/>
        <v>208.66311111111108</v>
      </c>
      <c r="HT37" s="3">
        <f t="shared" si="11"/>
        <v>211.77544444444442</v>
      </c>
      <c r="HU37" s="3">
        <f t="shared" si="11"/>
        <v>216.16405555555554</v>
      </c>
      <c r="HV37" s="3">
        <f t="shared" si="11"/>
        <v>221.69277777777779</v>
      </c>
      <c r="HW37" s="3">
        <f t="shared" si="11"/>
        <v>224.69494444444445</v>
      </c>
      <c r="HX37" s="3">
        <f t="shared" si="11"/>
        <v>220.85405555555559</v>
      </c>
      <c r="HY37" s="3">
        <f t="shared" si="11"/>
        <v>221.28333333333333</v>
      </c>
      <c r="HZ37" s="3">
        <f t="shared" si="11"/>
        <v>224.16766666666663</v>
      </c>
      <c r="IA37" s="3">
        <f t="shared" si="11"/>
        <v>224.83377777777775</v>
      </c>
      <c r="IB37" s="3">
        <f t="shared" si="11"/>
        <v>224.90577777777779</v>
      </c>
      <c r="IC37" s="3">
        <f t="shared" si="11"/>
        <v>230.32127777777774</v>
      </c>
      <c r="ID37" s="3">
        <f t="shared" si="11"/>
        <v>238.0205555555556</v>
      </c>
      <c r="IE37" s="3">
        <f t="shared" si="11"/>
        <v>240.53088888888891</v>
      </c>
      <c r="IF37" s="3">
        <f t="shared" si="11"/>
        <v>241.0578888888889</v>
      </c>
      <c r="IG37" s="3">
        <f t="shared" si="11"/>
        <v>237.75194444444443</v>
      </c>
      <c r="IH37" s="3">
        <f t="shared" si="11"/>
        <v>235.25688888888894</v>
      </c>
      <c r="II37" s="3">
        <f t="shared" si="11"/>
        <v>234.74005555555556</v>
      </c>
      <c r="IJ37" s="3">
        <f t="shared" si="11"/>
        <v>234.24894444444442</v>
      </c>
      <c r="IK37" s="3">
        <f t="shared" si="11"/>
        <v>231.08533333333332</v>
      </c>
      <c r="IL37" s="3">
        <f t="shared" si="11"/>
        <v>227.3356666666667</v>
      </c>
      <c r="IM37" s="3">
        <f t="shared" si="11"/>
        <v>225.38522222222221</v>
      </c>
      <c r="IN37" s="3">
        <f t="shared" si="11"/>
        <v>222.42061111111119</v>
      </c>
      <c r="IO37" s="3">
        <f t="shared" si="11"/>
        <v>216.37855555555561</v>
      </c>
      <c r="IP37" s="3">
        <f t="shared" si="11"/>
        <v>215.15177777777777</v>
      </c>
      <c r="IQ37" s="3">
        <f t="shared" si="11"/>
        <v>213.72033333333334</v>
      </c>
      <c r="IR37" s="3">
        <f t="shared" si="11"/>
        <v>218.66388888888889</v>
      </c>
      <c r="IS37" s="3">
        <f t="shared" si="11"/>
        <v>225.64227777777776</v>
      </c>
      <c r="IT37" s="3">
        <f t="shared" si="11"/>
        <v>227.96811111111114</v>
      </c>
      <c r="IU37" s="3">
        <f t="shared" si="11"/>
        <v>224.91083333333336</v>
      </c>
      <c r="IV37" s="3">
        <f t="shared" si="11"/>
        <v>221.20983333333336</v>
      </c>
      <c r="IW37" s="3">
        <f t="shared" si="11"/>
        <v>216.75683333333333</v>
      </c>
      <c r="IX37" s="3">
        <f t="shared" si="11"/>
        <v>217.74116666666666</v>
      </c>
      <c r="IY37" s="3">
        <f t="shared" si="11"/>
        <v>221.48511111111111</v>
      </c>
      <c r="IZ37" s="3">
        <f t="shared" si="11"/>
        <v>224.42488888888889</v>
      </c>
      <c r="JA37" s="3">
        <f t="shared" si="11"/>
        <v>225.4303888888889</v>
      </c>
      <c r="JB37" s="3">
        <f t="shared" si="11"/>
        <v>218.11241176470588</v>
      </c>
      <c r="JC37" s="3">
        <f t="shared" si="11"/>
        <v>176.88050000000001</v>
      </c>
      <c r="JD37" t="s">
        <v>45</v>
      </c>
    </row>
    <row r="38" spans="1:264" x14ac:dyDescent="0.25">
      <c r="A38" s="4" t="s">
        <v>57</v>
      </c>
      <c r="G38" s="3">
        <f ca="1">IFERROR(AVERAGEIF($E$5:$E$35,"yes",G5:G35),"-")</f>
        <v>293.0001666666667</v>
      </c>
      <c r="H38" s="3">
        <f t="shared" ref="H38:BS38" si="12">IFERROR(AVERAGEIF($E$5:$E$35,"yes",H5:H35),"-")</f>
        <v>297.09199999999998</v>
      </c>
      <c r="I38" s="3">
        <f t="shared" si="12"/>
        <v>300.53316666666666</v>
      </c>
      <c r="J38" s="3">
        <f t="shared" si="12"/>
        <v>291.1081666666667</v>
      </c>
      <c r="K38" s="3">
        <f t="shared" si="12"/>
        <v>288.04283333333331</v>
      </c>
      <c r="L38" s="3">
        <f t="shared" si="12"/>
        <v>286.96449999999999</v>
      </c>
      <c r="M38" s="3">
        <f t="shared" si="12"/>
        <v>288.2165</v>
      </c>
      <c r="N38" s="3">
        <f t="shared" si="12"/>
        <v>286.09066666666666</v>
      </c>
      <c r="O38" s="3">
        <f t="shared" si="12"/>
        <v>281.02566666666667</v>
      </c>
      <c r="P38" s="3">
        <f t="shared" si="12"/>
        <v>280.83433333333335</v>
      </c>
      <c r="Q38" s="3">
        <f t="shared" si="12"/>
        <v>287.16749999999996</v>
      </c>
      <c r="R38" s="3">
        <f t="shared" si="12"/>
        <v>292.43333333333334</v>
      </c>
      <c r="S38" s="3">
        <f t="shared" si="12"/>
        <v>291.399</v>
      </c>
      <c r="T38" s="3">
        <f t="shared" si="12"/>
        <v>297.50233333333335</v>
      </c>
      <c r="U38" s="3">
        <f t="shared" si="12"/>
        <v>304.95016666666669</v>
      </c>
      <c r="V38" s="3">
        <f t="shared" si="12"/>
        <v>310.67233333333331</v>
      </c>
      <c r="W38" s="3">
        <f t="shared" si="12"/>
        <v>315.92883333333333</v>
      </c>
      <c r="X38" s="3">
        <f t="shared" si="12"/>
        <v>309.06566666666669</v>
      </c>
      <c r="Y38" s="3">
        <f t="shared" si="12"/>
        <v>297.03283333333337</v>
      </c>
      <c r="Z38" s="3">
        <f t="shared" si="12"/>
        <v>299.48700000000002</v>
      </c>
      <c r="AA38" s="3">
        <f t="shared" si="12"/>
        <v>299.47566666666665</v>
      </c>
      <c r="AB38" s="3">
        <f t="shared" si="12"/>
        <v>282.39</v>
      </c>
      <c r="AC38" s="3">
        <f t="shared" si="12"/>
        <v>285.14999999999998</v>
      </c>
      <c r="AD38" s="3">
        <f t="shared" si="12"/>
        <v>289.53549999999996</v>
      </c>
      <c r="AE38" s="3">
        <f t="shared" si="12"/>
        <v>298.46883333333329</v>
      </c>
      <c r="AF38" s="3">
        <f t="shared" si="12"/>
        <v>300.5746666666667</v>
      </c>
      <c r="AG38" s="3">
        <f t="shared" si="12"/>
        <v>295.75716666666671</v>
      </c>
      <c r="AH38" s="3">
        <f t="shared" si="12"/>
        <v>289.57399999999996</v>
      </c>
      <c r="AI38" s="3">
        <f t="shared" si="12"/>
        <v>291.07350000000002</v>
      </c>
      <c r="AJ38" s="3">
        <f t="shared" si="12"/>
        <v>286.44016666666664</v>
      </c>
      <c r="AK38" s="3">
        <f t="shared" si="12"/>
        <v>279.47649999999999</v>
      </c>
      <c r="AL38" s="3">
        <f t="shared" si="12"/>
        <v>279.05416666666662</v>
      </c>
      <c r="AM38" s="3">
        <f t="shared" si="12"/>
        <v>282.53100000000001</v>
      </c>
      <c r="AN38" s="3">
        <f t="shared" si="12"/>
        <v>285.33159999999998</v>
      </c>
      <c r="AO38" s="3">
        <f t="shared" si="12"/>
        <v>286.84080000000006</v>
      </c>
      <c r="AP38" s="3">
        <f t="shared" si="12"/>
        <v>286.85939999999999</v>
      </c>
      <c r="AQ38" s="3">
        <f t="shared" si="12"/>
        <v>286.59499999999997</v>
      </c>
      <c r="AR38" s="3">
        <f t="shared" si="12"/>
        <v>285.33260000000001</v>
      </c>
      <c r="AS38" s="3">
        <f t="shared" si="12"/>
        <v>282.99020000000002</v>
      </c>
      <c r="AT38" s="3">
        <f t="shared" si="12"/>
        <v>283.39459999999997</v>
      </c>
      <c r="AU38" s="3">
        <f t="shared" si="12"/>
        <v>288.6404</v>
      </c>
      <c r="AV38" s="3">
        <f t="shared" si="12"/>
        <v>293.07</v>
      </c>
      <c r="AW38" s="3">
        <f t="shared" si="12"/>
        <v>292.07859999999999</v>
      </c>
      <c r="AX38" s="3">
        <f t="shared" si="12"/>
        <v>290.16880000000003</v>
      </c>
      <c r="AY38" s="3">
        <f t="shared" si="12"/>
        <v>288.24840000000006</v>
      </c>
      <c r="AZ38" s="3">
        <f t="shared" si="12"/>
        <v>284.32440000000008</v>
      </c>
      <c r="BA38" s="3">
        <f t="shared" si="12"/>
        <v>281.09739999999999</v>
      </c>
      <c r="BB38" s="3">
        <f t="shared" si="12"/>
        <v>277.18439999999998</v>
      </c>
      <c r="BC38" s="3">
        <f t="shared" si="12"/>
        <v>279.81640000000004</v>
      </c>
      <c r="BD38" s="3">
        <f t="shared" si="12"/>
        <v>287.33100000000002</v>
      </c>
      <c r="BE38" s="3">
        <f t="shared" si="12"/>
        <v>295.37779999999992</v>
      </c>
      <c r="BF38" s="3">
        <f t="shared" si="12"/>
        <v>299.50460000000004</v>
      </c>
      <c r="BG38" s="3">
        <f t="shared" si="12"/>
        <v>302.86419999999998</v>
      </c>
      <c r="BH38" s="3">
        <f t="shared" si="12"/>
        <v>307.8338</v>
      </c>
      <c r="BI38" s="3">
        <f t="shared" si="12"/>
        <v>318.33839999999998</v>
      </c>
      <c r="BJ38" s="3">
        <f t="shared" si="12"/>
        <v>322.31319999999999</v>
      </c>
      <c r="BK38" s="3">
        <f t="shared" si="12"/>
        <v>320.90339999999998</v>
      </c>
      <c r="BL38" s="3">
        <f t="shared" si="12"/>
        <v>316.65420000000006</v>
      </c>
      <c r="BM38" s="3">
        <f t="shared" si="12"/>
        <v>306.25900000000001</v>
      </c>
      <c r="BN38" s="3">
        <f t="shared" si="12"/>
        <v>303.95079999999996</v>
      </c>
      <c r="BO38" s="3">
        <f t="shared" si="12"/>
        <v>299.55619999999999</v>
      </c>
      <c r="BP38" s="3">
        <f t="shared" si="12"/>
        <v>299.221</v>
      </c>
      <c r="BQ38" s="3">
        <f t="shared" si="12"/>
        <v>300.5616</v>
      </c>
      <c r="BR38" s="3">
        <f t="shared" si="12"/>
        <v>302.24559999999997</v>
      </c>
      <c r="BS38" s="3">
        <f t="shared" si="12"/>
        <v>302.33540000000005</v>
      </c>
      <c r="BT38" s="3">
        <f t="shared" ref="BT38:EE38" si="13">IFERROR(AVERAGEIF($E$5:$E$35,"yes",BT5:BT35),"-")</f>
        <v>318.77840000000003</v>
      </c>
      <c r="BU38" s="3">
        <f t="shared" si="13"/>
        <v>331.53999999999996</v>
      </c>
      <c r="BV38" s="3">
        <f t="shared" si="13"/>
        <v>334.93079999999998</v>
      </c>
      <c r="BW38" s="3">
        <f t="shared" si="13"/>
        <v>337.428</v>
      </c>
      <c r="BX38" s="3">
        <f t="shared" si="13"/>
        <v>341.77139999999997</v>
      </c>
      <c r="BY38" s="3">
        <f t="shared" si="13"/>
        <v>343.25040000000001</v>
      </c>
      <c r="BZ38" s="3">
        <f t="shared" si="13"/>
        <v>345.15680000000003</v>
      </c>
      <c r="CA38" s="3">
        <f t="shared" si="13"/>
        <v>337.76360000000005</v>
      </c>
      <c r="CB38" s="3">
        <f t="shared" si="13"/>
        <v>333.67200000000003</v>
      </c>
      <c r="CC38" s="3">
        <f t="shared" si="13"/>
        <v>325.03579999999999</v>
      </c>
      <c r="CD38" s="3">
        <f t="shared" si="13"/>
        <v>326.16660000000002</v>
      </c>
      <c r="CE38" s="3">
        <f t="shared" si="13"/>
        <v>334.50919999999996</v>
      </c>
      <c r="CF38" s="3">
        <f t="shared" si="13"/>
        <v>339.22400000000005</v>
      </c>
      <c r="CG38" s="3">
        <f t="shared" si="13"/>
        <v>346.86419999999998</v>
      </c>
      <c r="CH38" s="3">
        <f t="shared" si="13"/>
        <v>359.75900000000001</v>
      </c>
      <c r="CI38" s="3">
        <f t="shared" si="13"/>
        <v>367.97099999999995</v>
      </c>
      <c r="CJ38" s="3">
        <f t="shared" si="13"/>
        <v>372.90440000000001</v>
      </c>
      <c r="CK38" s="3">
        <f t="shared" si="13"/>
        <v>370.67359999999996</v>
      </c>
      <c r="CL38" s="3">
        <f t="shared" si="13"/>
        <v>367.6918</v>
      </c>
      <c r="CM38" s="3">
        <f t="shared" si="13"/>
        <v>365.92259999999999</v>
      </c>
      <c r="CN38" s="3">
        <f t="shared" si="13"/>
        <v>369.64599999999996</v>
      </c>
      <c r="CO38" s="3">
        <f t="shared" si="13"/>
        <v>360.70233333333334</v>
      </c>
      <c r="CP38" s="3">
        <f t="shared" si="13"/>
        <v>360.40966666666668</v>
      </c>
      <c r="CQ38" s="3">
        <f t="shared" si="13"/>
        <v>350.44299999999998</v>
      </c>
      <c r="CR38" s="3">
        <f t="shared" si="13"/>
        <v>339.44133333333338</v>
      </c>
      <c r="CS38" s="3">
        <f t="shared" si="13"/>
        <v>363.11966666666666</v>
      </c>
      <c r="CT38" s="3">
        <f t="shared" si="13"/>
        <v>358.88466666666665</v>
      </c>
      <c r="CU38" s="3">
        <f t="shared" si="13"/>
        <v>361.15100000000001</v>
      </c>
      <c r="CV38" s="3">
        <f t="shared" si="13"/>
        <v>328.37633333333338</v>
      </c>
      <c r="CW38" s="3">
        <f t="shared" si="13"/>
        <v>300.19566666666668</v>
      </c>
      <c r="CX38" s="3">
        <f t="shared" si="13"/>
        <v>281.20566666666667</v>
      </c>
      <c r="CY38" s="3">
        <f t="shared" si="13"/>
        <v>292.80500000000001</v>
      </c>
      <c r="CZ38" s="3">
        <f t="shared" si="13"/>
        <v>322.69366666666667</v>
      </c>
      <c r="DA38" s="3">
        <f t="shared" si="13"/>
        <v>334.79066666666671</v>
      </c>
      <c r="DB38" s="3">
        <f t="shared" si="13"/>
        <v>351.93799999999993</v>
      </c>
      <c r="DC38" s="3">
        <f t="shared" si="13"/>
        <v>352.69733333333329</v>
      </c>
      <c r="DD38" s="3">
        <f t="shared" si="13"/>
        <v>351.78966666666673</v>
      </c>
      <c r="DE38" s="3">
        <f t="shared" si="13"/>
        <v>342.77799999999996</v>
      </c>
      <c r="DF38" s="3">
        <f t="shared" si="13"/>
        <v>339.35066666666665</v>
      </c>
      <c r="DG38" s="3">
        <f t="shared" si="13"/>
        <v>361.00133333333332</v>
      </c>
      <c r="DH38" s="3">
        <f t="shared" si="13"/>
        <v>398.75200000000001</v>
      </c>
      <c r="DI38" s="3">
        <f t="shared" si="13"/>
        <v>391.26266666666669</v>
      </c>
      <c r="DJ38" s="3">
        <f t="shared" si="13"/>
        <v>390.37533333333334</v>
      </c>
      <c r="DK38" s="3">
        <f t="shared" si="13"/>
        <v>398.75</v>
      </c>
      <c r="DL38" s="3">
        <f t="shared" si="13"/>
        <v>411.63466666666665</v>
      </c>
      <c r="DM38" s="3">
        <f t="shared" si="13"/>
        <v>431.19099999999997</v>
      </c>
      <c r="DN38" s="3">
        <f t="shared" si="13"/>
        <v>448.05466666666672</v>
      </c>
      <c r="DO38" s="3">
        <f t="shared" si="13"/>
        <v>448.55466666666666</v>
      </c>
      <c r="DP38" s="3">
        <f t="shared" si="13"/>
        <v>431.34200000000004</v>
      </c>
      <c r="DQ38" s="3">
        <f t="shared" si="13"/>
        <v>412.98066666666665</v>
      </c>
      <c r="DR38" s="3">
        <f t="shared" si="13"/>
        <v>402.267</v>
      </c>
      <c r="DS38" s="3">
        <f t="shared" si="13"/>
        <v>407.50700000000001</v>
      </c>
      <c r="DT38" s="3">
        <f t="shared" si="13"/>
        <v>402.08699999999999</v>
      </c>
      <c r="DU38" s="3">
        <f t="shared" si="13"/>
        <v>416.15800000000007</v>
      </c>
      <c r="DV38" s="3">
        <f t="shared" si="13"/>
        <v>423.18299999999999</v>
      </c>
      <c r="DW38" s="3">
        <f t="shared" si="13"/>
        <v>426.67433333333338</v>
      </c>
      <c r="DX38" s="3">
        <f t="shared" si="13"/>
        <v>414.66466666666662</v>
      </c>
      <c r="DY38" s="3">
        <f t="shared" si="13"/>
        <v>390.01866666666666</v>
      </c>
      <c r="DZ38" s="3">
        <f t="shared" si="13"/>
        <v>382.68599999999998</v>
      </c>
      <c r="EA38" s="3">
        <f t="shared" si="13"/>
        <v>362.38766666666669</v>
      </c>
      <c r="EB38" s="3">
        <f t="shared" si="13"/>
        <v>349.84366666666665</v>
      </c>
      <c r="EC38" s="3">
        <f t="shared" si="13"/>
        <v>367.78</v>
      </c>
      <c r="ED38" s="3">
        <f t="shared" si="13"/>
        <v>373.9736666666667</v>
      </c>
      <c r="EE38" s="3">
        <f t="shared" si="13"/>
        <v>387.57900000000001</v>
      </c>
      <c r="EF38" s="3">
        <f t="shared" ref="EF38:GQ38" si="14">IFERROR(AVERAGEIF($E$5:$E$35,"yes",EF5:EF35),"-")</f>
        <v>387.24933333333337</v>
      </c>
      <c r="EG38" s="3">
        <f t="shared" si="14"/>
        <v>369.7283333333333</v>
      </c>
      <c r="EH38" s="3">
        <f t="shared" si="14"/>
        <v>357.37466666666666</v>
      </c>
      <c r="EI38" s="3">
        <f t="shared" si="14"/>
        <v>356.52766666666668</v>
      </c>
      <c r="EJ38" s="3">
        <f t="shared" si="14"/>
        <v>329.99666666666667</v>
      </c>
      <c r="EK38" s="3">
        <f t="shared" si="14"/>
        <v>321.29966666666667</v>
      </c>
      <c r="EL38" s="3">
        <f t="shared" si="14"/>
        <v>357.3243333333333</v>
      </c>
      <c r="EM38" s="3">
        <f t="shared" si="14"/>
        <v>398.00033333333334</v>
      </c>
      <c r="EN38" s="3">
        <f t="shared" si="14"/>
        <v>418.99166666666662</v>
      </c>
      <c r="EO38" s="3">
        <f t="shared" si="14"/>
        <v>459.83300000000003</v>
      </c>
      <c r="EP38" s="3">
        <f t="shared" si="14"/>
        <v>469.59699999999998</v>
      </c>
      <c r="EQ38" s="3">
        <f t="shared" si="14"/>
        <v>468.56600000000003</v>
      </c>
      <c r="ER38" s="3">
        <f t="shared" si="14"/>
        <v>471.60599999999999</v>
      </c>
      <c r="ES38" s="3">
        <f t="shared" si="14"/>
        <v>478.87899999999996</v>
      </c>
      <c r="ET38" s="3">
        <f t="shared" si="14"/>
        <v>492.49799999999999</v>
      </c>
      <c r="EU38" s="3">
        <f t="shared" si="14"/>
        <v>495.35266666666666</v>
      </c>
      <c r="EV38" s="3">
        <f t="shared" si="14"/>
        <v>513.73066666666671</v>
      </c>
      <c r="EW38" s="3">
        <f t="shared" si="14"/>
        <v>534.2883333333333</v>
      </c>
      <c r="EX38" s="3">
        <f t="shared" si="14"/>
        <v>625.03166666666675</v>
      </c>
      <c r="EY38" s="3">
        <f t="shared" si="14"/>
        <v>648.64533333333327</v>
      </c>
      <c r="EZ38" s="3">
        <f t="shared" si="14"/>
        <v>617.68466666666666</v>
      </c>
      <c r="FA38" s="3">
        <f t="shared" si="14"/>
        <v>650.07933333333335</v>
      </c>
      <c r="FB38" s="3">
        <f t="shared" si="14"/>
        <v>646.52966666666669</v>
      </c>
      <c r="FC38" s="3">
        <f t="shared" si="14"/>
        <v>546.46033333333332</v>
      </c>
      <c r="FD38" s="3">
        <f t="shared" si="14"/>
        <v>486.99033333333335</v>
      </c>
      <c r="FE38" s="3">
        <f t="shared" si="14"/>
        <v>404.06566666666669</v>
      </c>
      <c r="FF38" s="3">
        <f t="shared" si="14"/>
        <v>394.51</v>
      </c>
      <c r="FG38" s="3">
        <f t="shared" si="14"/>
        <v>327.55533333333329</v>
      </c>
      <c r="FH38" s="3">
        <f t="shared" si="14"/>
        <v>320.93966666666665</v>
      </c>
      <c r="FI38" s="3">
        <f t="shared" si="14"/>
        <v>334.46033333333338</v>
      </c>
      <c r="FJ38" s="3">
        <f t="shared" si="14"/>
        <v>267.43233333333336</v>
      </c>
      <c r="FK38" s="3">
        <f t="shared" si="14"/>
        <v>237.58466666666666</v>
      </c>
      <c r="FL38" s="3">
        <f t="shared" si="14"/>
        <v>225.48699999999999</v>
      </c>
      <c r="FM38" s="3">
        <f t="shared" si="14"/>
        <v>233.17333333333332</v>
      </c>
      <c r="FN38" s="3">
        <f t="shared" si="14"/>
        <v>254.39666666666668</v>
      </c>
      <c r="FO38" s="3">
        <f t="shared" si="14"/>
        <v>254.88166666666666</v>
      </c>
      <c r="FP38" s="3">
        <f t="shared" si="14"/>
        <v>229.00566666666668</v>
      </c>
      <c r="FQ38" s="3">
        <f t="shared" si="14"/>
        <v>209.18100000000001</v>
      </c>
      <c r="FR38" s="3">
        <f t="shared" si="14"/>
        <v>200.13066666666668</v>
      </c>
      <c r="FS38" s="3">
        <f t="shared" si="14"/>
        <v>191.40133333333333</v>
      </c>
      <c r="FT38" s="3">
        <f t="shared" si="14"/>
        <v>172.82399999999998</v>
      </c>
      <c r="FU38" s="3">
        <f t="shared" si="14"/>
        <v>174.96</v>
      </c>
      <c r="FV38" s="3">
        <f t="shared" si="14"/>
        <v>178.05366666666669</v>
      </c>
      <c r="FW38" s="3">
        <f t="shared" si="14"/>
        <v>180.38666666666666</v>
      </c>
      <c r="FX38" s="3">
        <f t="shared" si="14"/>
        <v>180.17399999999998</v>
      </c>
      <c r="FY38" s="3">
        <f t="shared" si="14"/>
        <v>182.87033333333332</v>
      </c>
      <c r="FZ38" s="3">
        <f t="shared" si="14"/>
        <v>185.89133333333334</v>
      </c>
      <c r="GA38" s="3">
        <f t="shared" si="14"/>
        <v>185.16666666666666</v>
      </c>
      <c r="GB38" s="3">
        <f t="shared" si="14"/>
        <v>187.04133333333334</v>
      </c>
      <c r="GC38" s="3">
        <f t="shared" si="14"/>
        <v>190.08233333333337</v>
      </c>
      <c r="GD38" s="3">
        <f t="shared" si="14"/>
        <v>186.83699999999999</v>
      </c>
      <c r="GE38" s="3">
        <f t="shared" si="14"/>
        <v>184.63</v>
      </c>
      <c r="GF38" s="3">
        <f t="shared" si="14"/>
        <v>188.18933333333334</v>
      </c>
      <c r="GG38" s="3">
        <f t="shared" si="14"/>
        <v>192.49099999999999</v>
      </c>
      <c r="GH38" s="3">
        <f t="shared" si="14"/>
        <v>204.26333333333332</v>
      </c>
      <c r="GI38" s="3">
        <f t="shared" si="14"/>
        <v>203.84100000000001</v>
      </c>
      <c r="GJ38" s="3">
        <f t="shared" si="14"/>
        <v>202.96599999999998</v>
      </c>
      <c r="GK38" s="3">
        <f t="shared" si="14"/>
        <v>198.67366666666666</v>
      </c>
      <c r="GL38" s="3">
        <f t="shared" si="14"/>
        <v>201.99099999999999</v>
      </c>
      <c r="GM38" s="3">
        <f t="shared" si="14"/>
        <v>209.16333333333333</v>
      </c>
      <c r="GN38" s="3">
        <f t="shared" si="14"/>
        <v>196.178</v>
      </c>
      <c r="GO38" s="3">
        <f t="shared" si="14"/>
        <v>190.07266666666669</v>
      </c>
      <c r="GP38" s="3">
        <f t="shared" si="14"/>
        <v>184.55199999999999</v>
      </c>
      <c r="GQ38" s="3">
        <f t="shared" si="14"/>
        <v>181.86866666666666</v>
      </c>
      <c r="GR38" s="3">
        <f t="shared" ref="GR38:JC38" si="15">IFERROR(AVERAGEIF($E$5:$E$35,"yes",GR5:GR35),"-")</f>
        <v>180.006</v>
      </c>
      <c r="GS38" s="3">
        <f t="shared" si="15"/>
        <v>184.89499999999998</v>
      </c>
      <c r="GT38" s="3">
        <f t="shared" si="15"/>
        <v>193.53366666666668</v>
      </c>
      <c r="GU38" s="3">
        <f t="shared" si="15"/>
        <v>199.98833333333334</v>
      </c>
      <c r="GV38" s="3">
        <f t="shared" si="15"/>
        <v>200.01599999999999</v>
      </c>
      <c r="GW38" s="3">
        <f t="shared" si="15"/>
        <v>199.95233333333331</v>
      </c>
      <c r="GX38" s="3">
        <f t="shared" si="15"/>
        <v>202.928</v>
      </c>
      <c r="GY38" s="3">
        <f t="shared" si="15"/>
        <v>203.60733333333334</v>
      </c>
      <c r="GZ38" s="3">
        <f t="shared" si="15"/>
        <v>208.73633333333336</v>
      </c>
      <c r="HA38" s="3">
        <f t="shared" si="15"/>
        <v>205.92966666666666</v>
      </c>
      <c r="HB38" s="3">
        <f t="shared" si="15"/>
        <v>201.34933333333333</v>
      </c>
      <c r="HC38" s="3">
        <f t="shared" si="15"/>
        <v>194.88199999999998</v>
      </c>
      <c r="HD38" s="3">
        <f t="shared" si="15"/>
        <v>190.202</v>
      </c>
      <c r="HE38" s="3">
        <f t="shared" si="15"/>
        <v>188.65166666666664</v>
      </c>
      <c r="HF38" s="3">
        <f t="shared" si="15"/>
        <v>186.792</v>
      </c>
      <c r="HG38" s="3">
        <f t="shared" si="15"/>
        <v>190.8836666666667</v>
      </c>
      <c r="HH38" s="3">
        <f t="shared" si="15"/>
        <v>192.35233333333335</v>
      </c>
      <c r="HI38" s="3">
        <f t="shared" si="15"/>
        <v>190.947</v>
      </c>
      <c r="HJ38" s="3">
        <f t="shared" si="15"/>
        <v>194.51233333333334</v>
      </c>
      <c r="HK38" s="3">
        <f t="shared" si="15"/>
        <v>193.96266666666668</v>
      </c>
      <c r="HL38" s="3">
        <f t="shared" si="15"/>
        <v>194.81799999999998</v>
      </c>
      <c r="HM38" s="3">
        <f t="shared" si="15"/>
        <v>197.60400000000001</v>
      </c>
      <c r="HN38" s="3">
        <f t="shared" si="15"/>
        <v>196.886</v>
      </c>
      <c r="HO38" s="3">
        <f t="shared" si="15"/>
        <v>197.63666666666668</v>
      </c>
      <c r="HP38" s="3">
        <f t="shared" si="15"/>
        <v>202.60133333333332</v>
      </c>
      <c r="HQ38" s="3">
        <f t="shared" si="15"/>
        <v>204.66399999999999</v>
      </c>
      <c r="HR38" s="3">
        <f t="shared" si="15"/>
        <v>202.26866666666669</v>
      </c>
      <c r="HS38" s="3">
        <f t="shared" si="15"/>
        <v>204.255</v>
      </c>
      <c r="HT38" s="3">
        <f t="shared" si="15"/>
        <v>209.05733333333333</v>
      </c>
      <c r="HU38" s="3">
        <f t="shared" si="15"/>
        <v>213.191</v>
      </c>
      <c r="HV38" s="3">
        <f t="shared" si="15"/>
        <v>220.41166666666666</v>
      </c>
      <c r="HW38" s="3">
        <f t="shared" si="15"/>
        <v>222.607</v>
      </c>
      <c r="HX38" s="3">
        <f t="shared" si="15"/>
        <v>213.51699999999997</v>
      </c>
      <c r="HY38" s="3">
        <f t="shared" si="15"/>
        <v>216.00066666666666</v>
      </c>
      <c r="HZ38" s="3">
        <f t="shared" si="15"/>
        <v>220.31266666666667</v>
      </c>
      <c r="IA38" s="3">
        <f t="shared" si="15"/>
        <v>223.22366666666665</v>
      </c>
      <c r="IB38" s="3">
        <f t="shared" si="15"/>
        <v>222.88133333333334</v>
      </c>
      <c r="IC38" s="3">
        <f t="shared" si="15"/>
        <v>233.28366666666668</v>
      </c>
      <c r="ID38" s="3">
        <f t="shared" si="15"/>
        <v>245.547</v>
      </c>
      <c r="IE38" s="3">
        <f t="shared" si="15"/>
        <v>247.31266666666667</v>
      </c>
      <c r="IF38" s="3">
        <f t="shared" si="15"/>
        <v>247.75266666666667</v>
      </c>
      <c r="IG38" s="3">
        <f t="shared" si="15"/>
        <v>242.48000000000002</v>
      </c>
      <c r="IH38" s="3">
        <f t="shared" si="15"/>
        <v>240.67466666666667</v>
      </c>
      <c r="II38" s="3">
        <f t="shared" si="15"/>
        <v>240.83366666666666</v>
      </c>
      <c r="IJ38" s="3">
        <f t="shared" si="15"/>
        <v>239.41399999999999</v>
      </c>
      <c r="IK38" s="3">
        <f t="shared" si="15"/>
        <v>236.91866666666667</v>
      </c>
      <c r="IL38" s="3">
        <f t="shared" si="15"/>
        <v>232.14666666666668</v>
      </c>
      <c r="IM38" s="3">
        <f t="shared" si="15"/>
        <v>231.654</v>
      </c>
      <c r="IN38" s="3">
        <f t="shared" si="15"/>
        <v>226.46766666666667</v>
      </c>
      <c r="IO38" s="3">
        <f t="shared" si="15"/>
        <v>219.00333333333333</v>
      </c>
      <c r="IP38" s="3">
        <f t="shared" si="15"/>
        <v>220.68466666666669</v>
      </c>
      <c r="IQ38" s="3">
        <f t="shared" si="15"/>
        <v>218.92400000000001</v>
      </c>
      <c r="IR38" s="3">
        <f t="shared" si="15"/>
        <v>225.85366666666667</v>
      </c>
      <c r="IS38" s="3">
        <f t="shared" si="15"/>
        <v>232.41066666666666</v>
      </c>
      <c r="IT38" s="3">
        <f t="shared" si="15"/>
        <v>234.08799999999999</v>
      </c>
      <c r="IU38" s="3">
        <f t="shared" si="15"/>
        <v>229.44433333333333</v>
      </c>
      <c r="IV38" s="3">
        <f t="shared" si="15"/>
        <v>225.83233333333331</v>
      </c>
      <c r="IW38" s="3">
        <f t="shared" si="15"/>
        <v>219.34866666666667</v>
      </c>
      <c r="IX38" s="3">
        <f t="shared" si="15"/>
        <v>221.41666666666666</v>
      </c>
      <c r="IY38" s="3">
        <f t="shared" si="15"/>
        <v>225.04833333333332</v>
      </c>
      <c r="IZ38" s="3">
        <f t="shared" si="15"/>
        <v>228.82000000000002</v>
      </c>
      <c r="JA38" s="3">
        <f t="shared" si="15"/>
        <v>231.92766666666668</v>
      </c>
      <c r="JB38" s="3">
        <f t="shared" si="15"/>
        <v>234.93633333333332</v>
      </c>
      <c r="JC38" s="3" t="str">
        <f t="shared" si="15"/>
        <v>-</v>
      </c>
      <c r="JD38" t="s">
        <v>45</v>
      </c>
    </row>
    <row r="39" spans="1:264" x14ac:dyDescent="0.25">
      <c r="A39" s="4"/>
      <c r="G39" s="3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t="s">
        <v>45</v>
      </c>
    </row>
    <row r="40" spans="1:264" x14ac:dyDescent="0.25">
      <c r="A40" s="4" t="s">
        <v>72</v>
      </c>
      <c r="B40" t="s">
        <v>70</v>
      </c>
      <c r="D40" t="s">
        <v>68</v>
      </c>
      <c r="G40" s="3">
        <f ca="1">_xll.BDH(A40&amp;" corp",D40,TODAY()-365,TODAY(),"dir=h","dates=h","sort=r","fill=-","cols=255;rows=1")</f>
        <v>362.82299999999998</v>
      </c>
      <c r="H40" s="1">
        <v>375.32900000000001</v>
      </c>
      <c r="I40" s="1">
        <v>378.92899999999997</v>
      </c>
      <c r="J40" s="1">
        <v>370.87700000000001</v>
      </c>
      <c r="K40" s="1">
        <v>359.26499999999999</v>
      </c>
      <c r="L40" s="1">
        <v>355.05700000000002</v>
      </c>
      <c r="M40" s="1">
        <v>363.37700000000001</v>
      </c>
      <c r="N40" s="1">
        <v>360.40100000000001</v>
      </c>
      <c r="O40" s="1">
        <v>362.26600000000002</v>
      </c>
      <c r="P40" s="1">
        <v>370.00700000000001</v>
      </c>
      <c r="Q40" s="1">
        <v>377.91899999999998</v>
      </c>
      <c r="R40" s="1">
        <v>386.18400000000003</v>
      </c>
      <c r="S40" s="1">
        <v>387.41500000000002</v>
      </c>
      <c r="T40" s="1">
        <v>389.61200000000002</v>
      </c>
      <c r="U40" s="1">
        <v>392.89699999999999</v>
      </c>
      <c r="V40" s="1">
        <v>392.54399999999998</v>
      </c>
      <c r="W40" s="1">
        <v>401.846</v>
      </c>
      <c r="X40" s="1">
        <v>392.52</v>
      </c>
      <c r="Y40" s="1">
        <v>381.11200000000002</v>
      </c>
      <c r="Z40" s="1">
        <v>369.00099999999998</v>
      </c>
      <c r="AA40" s="1">
        <v>364.80700000000002</v>
      </c>
      <c r="AB40" s="1">
        <v>356.96</v>
      </c>
      <c r="AC40" s="1">
        <v>355.18799999999999</v>
      </c>
      <c r="AD40" s="1">
        <v>354.65800000000002</v>
      </c>
      <c r="AE40" s="1">
        <v>366.83699999999999</v>
      </c>
      <c r="AF40" s="1">
        <v>371.791</v>
      </c>
      <c r="AG40" s="1">
        <v>380.33600000000001</v>
      </c>
      <c r="AH40" s="1">
        <v>371.77199999999999</v>
      </c>
      <c r="AI40" s="1">
        <v>372.52</v>
      </c>
      <c r="AJ40" s="1">
        <v>379.88499999999999</v>
      </c>
      <c r="AK40" s="1">
        <v>376.822</v>
      </c>
      <c r="AL40" s="1">
        <v>376.21300000000002</v>
      </c>
      <c r="AM40" s="1">
        <v>367.70100000000002</v>
      </c>
      <c r="AN40" s="1">
        <v>355.36700000000002</v>
      </c>
      <c r="AO40" s="1">
        <v>359.589</v>
      </c>
      <c r="AP40" s="1">
        <v>375.06099999999998</v>
      </c>
      <c r="AQ40" s="1">
        <v>373.81700000000001</v>
      </c>
      <c r="AR40" s="1">
        <v>377.30599999999998</v>
      </c>
      <c r="AS40" s="1">
        <v>380.488</v>
      </c>
      <c r="AT40" s="1">
        <v>379.13799999999998</v>
      </c>
      <c r="AU40" s="1">
        <v>379.93299999999999</v>
      </c>
      <c r="AV40" s="1">
        <v>387.51400000000001</v>
      </c>
      <c r="AW40" s="1">
        <v>389.351</v>
      </c>
      <c r="AX40" s="1">
        <v>392.95699999999999</v>
      </c>
      <c r="AY40" s="1">
        <v>393.06200000000001</v>
      </c>
      <c r="AZ40" s="1">
        <v>393.77300000000002</v>
      </c>
      <c r="BA40" s="1">
        <v>387.70400000000001</v>
      </c>
      <c r="BB40" s="1">
        <v>388.738</v>
      </c>
      <c r="BC40" s="1">
        <v>397.44400000000002</v>
      </c>
      <c r="BD40" s="1">
        <v>398.25599999999997</v>
      </c>
      <c r="BE40" s="1">
        <v>391.34500000000003</v>
      </c>
      <c r="BF40" s="1">
        <v>393.74</v>
      </c>
      <c r="BG40" s="1">
        <v>394.721</v>
      </c>
      <c r="BH40" s="1">
        <v>403.73700000000002</v>
      </c>
      <c r="BI40" s="1">
        <v>409.98599999999999</v>
      </c>
      <c r="BJ40" s="1">
        <v>422.21100000000001</v>
      </c>
      <c r="BK40" s="1">
        <v>421.11500000000001</v>
      </c>
      <c r="BL40" s="1">
        <v>411.53199999999998</v>
      </c>
      <c r="BM40" s="1">
        <v>412.30099999999999</v>
      </c>
      <c r="BN40" s="1">
        <v>404.149</v>
      </c>
      <c r="BO40" s="1">
        <v>394.71699999999998</v>
      </c>
      <c r="BP40" s="1">
        <v>390.80799999999999</v>
      </c>
      <c r="BQ40" s="1">
        <v>389.48399999999998</v>
      </c>
      <c r="BR40" s="1">
        <v>390.65</v>
      </c>
      <c r="BS40" s="1">
        <v>398.10700000000003</v>
      </c>
      <c r="BT40" s="1">
        <v>409.36500000000001</v>
      </c>
      <c r="BU40" s="1">
        <v>413.85300000000001</v>
      </c>
      <c r="BV40" s="1">
        <v>417.46600000000001</v>
      </c>
      <c r="BW40" s="1">
        <v>420.233</v>
      </c>
      <c r="BX40" s="1">
        <v>417.27800000000002</v>
      </c>
      <c r="BY40" s="1">
        <v>422.84500000000003</v>
      </c>
      <c r="BZ40" s="1">
        <v>417.66199999999998</v>
      </c>
      <c r="CA40" s="1">
        <v>410.86700000000002</v>
      </c>
      <c r="CB40" s="1">
        <v>402.017</v>
      </c>
      <c r="CC40" s="1">
        <v>404.89699999999999</v>
      </c>
      <c r="CD40" s="1">
        <v>412.76</v>
      </c>
      <c r="CE40" s="1">
        <v>410.91699999999997</v>
      </c>
      <c r="CF40" s="1">
        <v>419.48599999999999</v>
      </c>
      <c r="CG40" s="1">
        <v>432.58499999999998</v>
      </c>
      <c r="CH40" s="1">
        <v>444.67700000000002</v>
      </c>
      <c r="CI40" s="1">
        <v>444.04300000000001</v>
      </c>
      <c r="CJ40" s="1">
        <v>441.7</v>
      </c>
      <c r="CK40" s="1">
        <v>438.07400000000001</v>
      </c>
      <c r="CL40" s="1">
        <v>423.86599999999999</v>
      </c>
      <c r="CM40" s="1">
        <v>434.78199999999998</v>
      </c>
      <c r="CN40" s="1">
        <v>431.91800000000001</v>
      </c>
      <c r="CO40" s="1">
        <v>427.34199999999998</v>
      </c>
      <c r="CP40" s="1">
        <v>417.21699999999998</v>
      </c>
      <c r="CQ40" s="1">
        <v>422.78899999999999</v>
      </c>
      <c r="CR40" s="1">
        <v>445.76400000000001</v>
      </c>
      <c r="CS40" s="1">
        <v>446.26799999999997</v>
      </c>
      <c r="CT40" s="1">
        <v>440.75900000000001</v>
      </c>
      <c r="CU40" s="1">
        <v>414.53</v>
      </c>
      <c r="CV40" s="1">
        <v>396.03100000000001</v>
      </c>
      <c r="CW40" s="1">
        <v>385.73500000000001</v>
      </c>
      <c r="CX40" s="1">
        <v>393.41199999999998</v>
      </c>
      <c r="CY40" s="1">
        <v>411.26</v>
      </c>
      <c r="CZ40" s="1">
        <v>421.00599999999997</v>
      </c>
      <c r="DA40" s="1">
        <v>440.84199999999998</v>
      </c>
      <c r="DB40" s="1">
        <v>457.07799999999997</v>
      </c>
      <c r="DC40" s="1">
        <v>466.96</v>
      </c>
      <c r="DD40" s="1">
        <v>456.83600000000001</v>
      </c>
      <c r="DE40" s="1">
        <v>476.61500000000001</v>
      </c>
      <c r="DF40" s="1">
        <v>490.4</v>
      </c>
      <c r="DG40" s="1">
        <v>513.66899999999998</v>
      </c>
      <c r="DH40" s="1">
        <v>505.11599999999999</v>
      </c>
      <c r="DI40" s="1">
        <v>504.64699999999999</v>
      </c>
      <c r="DJ40" s="1">
        <v>523.95399999999995</v>
      </c>
      <c r="DK40" s="1">
        <v>535.64200000000005</v>
      </c>
      <c r="DL40" s="1">
        <v>565.96299999999997</v>
      </c>
      <c r="DM40" s="1">
        <v>558.97199999999998</v>
      </c>
      <c r="DN40" s="1">
        <v>544.30600000000004</v>
      </c>
      <c r="DO40" s="1">
        <v>532.44000000000005</v>
      </c>
      <c r="DP40" s="1">
        <v>531.322</v>
      </c>
      <c r="DQ40" s="1">
        <v>542.01300000000003</v>
      </c>
      <c r="DR40" s="1">
        <v>541.87099999999998</v>
      </c>
      <c r="DS40" s="1">
        <v>528.52599999999995</v>
      </c>
      <c r="DT40" s="1">
        <v>538.57299999999998</v>
      </c>
      <c r="DU40" s="1">
        <v>536.45100000000002</v>
      </c>
      <c r="DV40" s="1">
        <v>519.37599999999998</v>
      </c>
      <c r="DW40" s="1">
        <v>513.59100000000001</v>
      </c>
      <c r="DX40" s="1">
        <v>524.31299999999999</v>
      </c>
      <c r="DY40" s="1">
        <v>524.97799999999995</v>
      </c>
      <c r="DZ40" s="1">
        <v>527.28200000000004</v>
      </c>
      <c r="EA40" s="1">
        <v>526.55499999999995</v>
      </c>
      <c r="EB40" s="1">
        <v>551.81299999999999</v>
      </c>
      <c r="EC40" s="1">
        <v>567.79300000000001</v>
      </c>
      <c r="ED40" s="1">
        <v>530.68200000000002</v>
      </c>
      <c r="EE40" s="1">
        <v>524.15499999999997</v>
      </c>
      <c r="EF40" s="1">
        <v>533.81299999999999</v>
      </c>
      <c r="EG40" s="1">
        <v>517.33799999999997</v>
      </c>
      <c r="EH40" s="1">
        <v>485.00200000000001</v>
      </c>
      <c r="EI40" s="1">
        <v>521.32299999999998</v>
      </c>
      <c r="EJ40" s="1">
        <v>574.255</v>
      </c>
      <c r="EK40" s="1">
        <v>592.48</v>
      </c>
      <c r="EL40" s="1">
        <v>632.30499999999995</v>
      </c>
      <c r="EM40" s="1">
        <v>663.92499999999995</v>
      </c>
      <c r="EN40" s="1">
        <v>643.37900000000002</v>
      </c>
      <c r="EO40" s="1">
        <v>639.06700000000001</v>
      </c>
      <c r="EP40" s="1">
        <v>617.55399999999997</v>
      </c>
      <c r="EQ40" s="1">
        <v>618.23500000000001</v>
      </c>
      <c r="ER40" s="1">
        <v>590.63</v>
      </c>
      <c r="ES40" s="1">
        <v>559.17999999999995</v>
      </c>
      <c r="ET40" s="1">
        <v>588.63800000000003</v>
      </c>
      <c r="EU40" s="1">
        <v>664.07100000000003</v>
      </c>
      <c r="EV40" s="1">
        <v>702.74900000000002</v>
      </c>
      <c r="EW40" s="1">
        <v>706.12699999999995</v>
      </c>
      <c r="EX40" s="1">
        <v>710.73</v>
      </c>
      <c r="EY40" s="1">
        <v>711.77700000000004</v>
      </c>
      <c r="EZ40" s="1">
        <v>646.93499999999995</v>
      </c>
      <c r="FA40" s="1">
        <v>634.01400000000001</v>
      </c>
      <c r="FB40" s="1">
        <v>593.02</v>
      </c>
      <c r="FC40" s="1">
        <v>590.30899999999997</v>
      </c>
      <c r="FD40" s="1">
        <v>529.10400000000004</v>
      </c>
      <c r="FE40" s="1">
        <v>508.68599999999998</v>
      </c>
      <c r="FF40" s="1">
        <v>493.42700000000002</v>
      </c>
      <c r="FG40" s="1">
        <v>411.90300000000002</v>
      </c>
      <c r="FH40" s="1">
        <v>371.81900000000002</v>
      </c>
      <c r="FI40" s="1">
        <v>346.29700000000003</v>
      </c>
      <c r="FJ40" s="1">
        <v>351.93</v>
      </c>
      <c r="FK40" s="1">
        <v>362.60399999999998</v>
      </c>
      <c r="FL40" s="1">
        <v>355.08499999999998</v>
      </c>
      <c r="FM40" s="1">
        <v>331.197</v>
      </c>
      <c r="FN40" s="1">
        <v>324.76</v>
      </c>
      <c r="FO40" s="1">
        <v>318.072</v>
      </c>
      <c r="FP40" s="1">
        <v>303.57</v>
      </c>
      <c r="FQ40" s="1">
        <v>283.67599999999999</v>
      </c>
      <c r="FR40" s="1">
        <v>279.815</v>
      </c>
      <c r="FS40" s="1">
        <v>280.45100000000002</v>
      </c>
      <c r="FT40" s="1">
        <v>280.44600000000003</v>
      </c>
      <c r="FU40" s="1">
        <v>279.16899999999998</v>
      </c>
      <c r="FV40" s="1">
        <v>279.726</v>
      </c>
      <c r="FW40" s="1">
        <v>278.452</v>
      </c>
      <c r="FX40" s="1">
        <v>277.63499999999999</v>
      </c>
      <c r="FY40" s="1">
        <v>279.01</v>
      </c>
      <c r="FZ40" s="1">
        <v>282.14999999999998</v>
      </c>
      <c r="GA40" s="1">
        <v>282.14800000000002</v>
      </c>
      <c r="GB40" s="1">
        <v>279.01</v>
      </c>
      <c r="GC40" s="1">
        <v>280.62900000000002</v>
      </c>
      <c r="GD40" s="1">
        <v>286.48399999999998</v>
      </c>
      <c r="GE40" s="1">
        <v>296.62299999999999</v>
      </c>
      <c r="GF40" s="1">
        <v>297.19900000000001</v>
      </c>
      <c r="GG40" s="1">
        <v>293.16300000000001</v>
      </c>
      <c r="GH40" s="1">
        <v>288.18700000000001</v>
      </c>
      <c r="GI40" s="1">
        <v>289.78500000000003</v>
      </c>
      <c r="GJ40" s="1">
        <v>292.64</v>
      </c>
      <c r="GK40" s="1">
        <v>285.49400000000003</v>
      </c>
      <c r="GL40" s="1">
        <v>281.81099999999998</v>
      </c>
      <c r="GM40" s="1">
        <v>279.08800000000002</v>
      </c>
      <c r="GN40" s="1">
        <v>274.81</v>
      </c>
      <c r="GO40" s="1">
        <v>272.10700000000003</v>
      </c>
      <c r="GP40" s="1">
        <v>267.76900000000001</v>
      </c>
      <c r="GQ40" s="1">
        <v>268.35399999999998</v>
      </c>
      <c r="GR40" s="1">
        <v>269.42500000000001</v>
      </c>
      <c r="GS40" s="1">
        <v>269.56099999999998</v>
      </c>
      <c r="GT40" s="1">
        <v>267.28800000000001</v>
      </c>
      <c r="GU40" s="1">
        <v>265.81400000000002</v>
      </c>
      <c r="GV40" s="1">
        <v>266.07</v>
      </c>
      <c r="GW40" s="1">
        <v>269.44600000000003</v>
      </c>
      <c r="GX40" s="1">
        <v>273.69799999999998</v>
      </c>
      <c r="GY40" s="1">
        <v>272.37200000000001</v>
      </c>
      <c r="GZ40" s="1">
        <v>268.81900000000002</v>
      </c>
      <c r="HA40" s="1">
        <v>266.125</v>
      </c>
      <c r="HB40" s="1">
        <v>268.10899999999998</v>
      </c>
      <c r="HC40" s="1">
        <v>267.09800000000001</v>
      </c>
      <c r="HD40" s="1">
        <v>264.59199999999998</v>
      </c>
      <c r="HE40" s="1">
        <v>265.27199999999999</v>
      </c>
      <c r="HF40" s="1">
        <v>268.79300000000001</v>
      </c>
      <c r="HG40" s="1">
        <v>268.55399999999997</v>
      </c>
      <c r="HH40" s="1">
        <v>266.93299999999999</v>
      </c>
      <c r="HI40" s="1">
        <v>265.887</v>
      </c>
      <c r="HJ40" s="1">
        <v>270.66699999999997</v>
      </c>
      <c r="HK40" s="1">
        <v>272.06900000000002</v>
      </c>
      <c r="HL40" s="1">
        <v>272.17200000000003</v>
      </c>
      <c r="HM40" s="1">
        <v>271.65899999999999</v>
      </c>
      <c r="HN40" s="1">
        <v>279.3</v>
      </c>
      <c r="HO40" s="1">
        <v>283.65499999999997</v>
      </c>
      <c r="HP40" s="1">
        <v>284.31</v>
      </c>
      <c r="HQ40" s="1">
        <v>283.774</v>
      </c>
      <c r="HR40" s="1">
        <v>283.529</v>
      </c>
      <c r="HS40" s="1">
        <v>284.23599999999999</v>
      </c>
      <c r="HT40" s="1">
        <v>286.85700000000003</v>
      </c>
      <c r="HU40" s="1">
        <v>288.375</v>
      </c>
      <c r="HV40" s="1">
        <v>291.24400000000003</v>
      </c>
      <c r="HW40" s="1">
        <v>287.44600000000003</v>
      </c>
      <c r="HX40" s="1">
        <v>284.23500000000001</v>
      </c>
      <c r="HY40" s="1">
        <v>285.36599999999999</v>
      </c>
      <c r="HZ40" s="1">
        <v>286.46499999999997</v>
      </c>
      <c r="IA40" s="1">
        <v>289.27499999999998</v>
      </c>
      <c r="IB40" s="1">
        <v>292.125</v>
      </c>
      <c r="IC40" s="1">
        <v>296.52300000000002</v>
      </c>
      <c r="ID40" s="1">
        <v>297.20699999999999</v>
      </c>
      <c r="IE40" s="1">
        <v>297.55900000000003</v>
      </c>
      <c r="IF40" s="1">
        <v>295.161</v>
      </c>
      <c r="IG40" s="1">
        <v>294.59899999999999</v>
      </c>
      <c r="IH40" s="1">
        <v>296.947</v>
      </c>
      <c r="II40" s="1">
        <v>301.53300000000002</v>
      </c>
      <c r="IJ40" s="1">
        <v>292.56299999999999</v>
      </c>
      <c r="IK40" s="1">
        <v>289.37</v>
      </c>
      <c r="IL40" s="1">
        <v>289.42099999999999</v>
      </c>
      <c r="IM40" s="1">
        <v>290.58100000000002</v>
      </c>
      <c r="IN40" s="1">
        <v>290.62799999999999</v>
      </c>
      <c r="IO40" s="1">
        <v>290.935</v>
      </c>
      <c r="IP40" s="1">
        <v>286.86399999999998</v>
      </c>
      <c r="IQ40" s="1">
        <v>286.346</v>
      </c>
      <c r="IR40" s="1">
        <v>292.964</v>
      </c>
      <c r="IS40" s="1">
        <v>297.80799999999999</v>
      </c>
      <c r="IT40" s="1">
        <v>293.601</v>
      </c>
      <c r="IU40" s="1">
        <v>290.19600000000003</v>
      </c>
      <c r="IV40" s="1">
        <v>287.53500000000003</v>
      </c>
      <c r="IW40" s="1">
        <v>288.86900000000003</v>
      </c>
      <c r="IX40" s="1">
        <v>290.27699999999999</v>
      </c>
      <c r="IY40" s="1">
        <v>287.14999999999998</v>
      </c>
      <c r="IZ40" s="1">
        <v>285.53399999999999</v>
      </c>
      <c r="JA40" s="1">
        <v>286.495</v>
      </c>
      <c r="JB40" s="1"/>
      <c r="JC40" s="1"/>
    </row>
    <row r="41" spans="1:264" x14ac:dyDescent="0.25">
      <c r="A41" s="4" t="s">
        <v>73</v>
      </c>
      <c r="B41" t="s">
        <v>70</v>
      </c>
      <c r="D41" t="s">
        <v>68</v>
      </c>
      <c r="G41" s="3">
        <f ca="1">_xll.BDH(A41&amp;" corp",D41,TODAY()-365,TODAY(),"dir=h","dates=h","sort=r","fill=-","cols=255;rows=1")</f>
        <v>347.887</v>
      </c>
      <c r="H41" s="1">
        <v>356.71199999999999</v>
      </c>
      <c r="I41" s="1">
        <v>360.50299999999999</v>
      </c>
      <c r="J41" s="1">
        <v>352.322</v>
      </c>
      <c r="K41" s="1">
        <v>340.53300000000002</v>
      </c>
      <c r="L41" s="1">
        <v>335.96800000000002</v>
      </c>
      <c r="M41" s="1">
        <v>343.565</v>
      </c>
      <c r="N41" s="1">
        <v>344.18700000000001</v>
      </c>
      <c r="O41" s="1">
        <v>343.32299999999998</v>
      </c>
      <c r="P41" s="1">
        <v>351.19499999999999</v>
      </c>
      <c r="Q41" s="1">
        <v>359.95100000000002</v>
      </c>
      <c r="R41" s="1">
        <v>367.65800000000002</v>
      </c>
      <c r="S41" s="1">
        <v>369.00299999999999</v>
      </c>
      <c r="T41" s="1">
        <v>371.25299999999999</v>
      </c>
      <c r="U41" s="1">
        <v>374.65100000000001</v>
      </c>
      <c r="V41" s="1">
        <v>374.98700000000002</v>
      </c>
      <c r="W41" s="1">
        <v>383.75400000000002</v>
      </c>
      <c r="X41" s="1">
        <v>372.60199999999998</v>
      </c>
      <c r="Y41" s="1">
        <v>357.904</v>
      </c>
      <c r="Z41" s="1">
        <v>354.36500000000001</v>
      </c>
      <c r="AA41" s="1">
        <v>341.00599999999997</v>
      </c>
      <c r="AB41" s="1">
        <v>330.15</v>
      </c>
      <c r="AC41" s="1">
        <v>332.39800000000002</v>
      </c>
      <c r="AD41" s="1">
        <v>328.89800000000002</v>
      </c>
      <c r="AE41" s="1">
        <v>343.39600000000002</v>
      </c>
      <c r="AF41" s="1">
        <v>348.875</v>
      </c>
      <c r="AG41" s="1">
        <v>357.73</v>
      </c>
      <c r="AH41" s="1">
        <v>348.99700000000001</v>
      </c>
      <c r="AI41" s="1">
        <v>349.70699999999999</v>
      </c>
      <c r="AJ41" s="1">
        <v>358.19600000000003</v>
      </c>
      <c r="AK41" s="1">
        <v>355.01600000000002</v>
      </c>
      <c r="AL41" s="1">
        <v>354.46699999999998</v>
      </c>
      <c r="AM41" s="1">
        <v>348.45100000000002</v>
      </c>
      <c r="AN41" s="1">
        <v>335.93299999999999</v>
      </c>
      <c r="AO41" s="1">
        <v>340.77600000000001</v>
      </c>
      <c r="AP41" s="1">
        <v>353.303</v>
      </c>
      <c r="AQ41" s="1">
        <v>352.029</v>
      </c>
      <c r="AR41" s="1">
        <v>355.56599999999997</v>
      </c>
      <c r="AS41" s="1">
        <v>358.81200000000001</v>
      </c>
      <c r="AT41" s="1">
        <v>358.02199999999999</v>
      </c>
      <c r="AU41" s="1">
        <v>361.33199999999999</v>
      </c>
      <c r="AV41" s="1">
        <v>366.71100000000001</v>
      </c>
      <c r="AW41" s="1">
        <v>367.63600000000002</v>
      </c>
      <c r="AX41" s="1">
        <v>371.34199999999998</v>
      </c>
      <c r="AY41" s="1">
        <v>371.72500000000002</v>
      </c>
      <c r="AZ41" s="1">
        <v>372.22800000000001</v>
      </c>
      <c r="BA41" s="1">
        <v>366.02</v>
      </c>
      <c r="BB41" s="1">
        <v>367.048</v>
      </c>
      <c r="BC41" s="1">
        <v>375.291</v>
      </c>
      <c r="BD41" s="1">
        <v>376.44600000000003</v>
      </c>
      <c r="BE41" s="1">
        <v>372.27499999999998</v>
      </c>
      <c r="BF41" s="1">
        <v>374.77800000000002</v>
      </c>
      <c r="BG41" s="1">
        <v>375.65199999999999</v>
      </c>
      <c r="BH41" s="1">
        <v>384.904</v>
      </c>
      <c r="BI41" s="1">
        <v>391.53500000000003</v>
      </c>
      <c r="BJ41" s="1">
        <v>403.85599999999999</v>
      </c>
      <c r="BK41" s="1">
        <v>402.17899999999997</v>
      </c>
      <c r="BL41" s="1">
        <v>392.29599999999999</v>
      </c>
      <c r="BM41" s="1">
        <v>393.00299999999999</v>
      </c>
      <c r="BN41" s="1">
        <v>385.00200000000001</v>
      </c>
      <c r="BO41" s="1">
        <v>375.12400000000002</v>
      </c>
      <c r="BP41" s="1">
        <v>371.05</v>
      </c>
      <c r="BQ41" s="1">
        <v>371.53699999999998</v>
      </c>
      <c r="BR41" s="1">
        <v>372.702</v>
      </c>
      <c r="BS41" s="1">
        <v>380.72699999999998</v>
      </c>
      <c r="BT41" s="1">
        <v>393.995</v>
      </c>
      <c r="BU41" s="1">
        <v>396.38900000000001</v>
      </c>
      <c r="BV41" s="1">
        <v>400.01499999999999</v>
      </c>
      <c r="BW41" s="1">
        <v>402.96300000000002</v>
      </c>
      <c r="BX41" s="1">
        <v>396.88799999999998</v>
      </c>
      <c r="BY41" s="1">
        <v>403.27300000000002</v>
      </c>
      <c r="BZ41" s="1">
        <v>400.34399999999999</v>
      </c>
      <c r="CA41" s="1">
        <v>393.38400000000001</v>
      </c>
      <c r="CB41" s="1">
        <v>386.64</v>
      </c>
      <c r="CC41" s="1">
        <v>387.71899999999999</v>
      </c>
      <c r="CD41" s="1">
        <v>397.65</v>
      </c>
      <c r="CE41" s="1">
        <v>395.61700000000002</v>
      </c>
      <c r="CF41" s="1">
        <v>402.11599999999999</v>
      </c>
      <c r="CG41" s="1">
        <v>415.42500000000001</v>
      </c>
      <c r="CH41" s="1">
        <v>428.35500000000002</v>
      </c>
      <c r="CI41" s="1">
        <v>429.46199999999999</v>
      </c>
      <c r="CJ41" s="1">
        <v>424.61700000000002</v>
      </c>
      <c r="CK41" s="1">
        <v>420.99599999999998</v>
      </c>
      <c r="CL41" s="1">
        <v>408.649</v>
      </c>
      <c r="CM41" s="1">
        <v>418.14600000000002</v>
      </c>
      <c r="CN41" s="1">
        <v>414.58100000000002</v>
      </c>
      <c r="CO41" s="1">
        <v>410.024</v>
      </c>
      <c r="CP41" s="1">
        <v>399.67399999999998</v>
      </c>
      <c r="CQ41" s="1">
        <v>406.04399999999998</v>
      </c>
      <c r="CR41" s="1">
        <v>430.31400000000002</v>
      </c>
      <c r="CS41" s="1">
        <v>430.202</v>
      </c>
      <c r="CT41" s="1">
        <v>424.68599999999998</v>
      </c>
      <c r="CU41" s="1">
        <v>398.87799999999999</v>
      </c>
      <c r="CV41" s="1">
        <v>380.048</v>
      </c>
      <c r="CW41" s="1">
        <v>370.19400000000002</v>
      </c>
      <c r="CX41" s="1">
        <v>377.233</v>
      </c>
      <c r="CY41" s="1">
        <v>397.303</v>
      </c>
      <c r="CZ41" s="1">
        <v>404.596</v>
      </c>
      <c r="DA41" s="1">
        <v>421.303</v>
      </c>
      <c r="DB41" s="1">
        <v>442.19099999999997</v>
      </c>
      <c r="DC41" s="1">
        <v>451.42099999999999</v>
      </c>
      <c r="DD41" s="1">
        <v>442.798</v>
      </c>
      <c r="DE41" s="1">
        <v>461.084</v>
      </c>
      <c r="DF41" s="1">
        <v>477.75</v>
      </c>
      <c r="DG41" s="1">
        <v>504.83800000000002</v>
      </c>
      <c r="DH41" s="1">
        <v>494.75200000000001</v>
      </c>
      <c r="DI41" s="1">
        <v>494.005</v>
      </c>
      <c r="DJ41" s="1">
        <v>515.351</v>
      </c>
      <c r="DK41" s="1">
        <v>529.23800000000006</v>
      </c>
      <c r="DL41" s="1">
        <v>559.53300000000002</v>
      </c>
      <c r="DM41" s="1">
        <v>552.04200000000003</v>
      </c>
      <c r="DN41" s="1">
        <v>537.072</v>
      </c>
      <c r="DO41" s="1">
        <v>524.82100000000003</v>
      </c>
      <c r="DP41" s="1">
        <v>525.83100000000002</v>
      </c>
      <c r="DQ41" s="1">
        <v>535.63900000000001</v>
      </c>
      <c r="DR41" s="1">
        <v>536.43799999999999</v>
      </c>
      <c r="DS41" s="1">
        <v>524.79700000000003</v>
      </c>
      <c r="DT41" s="1">
        <v>533.46799999999996</v>
      </c>
      <c r="DU41" s="1">
        <v>526.79300000000001</v>
      </c>
      <c r="DV41" s="1">
        <v>510.322</v>
      </c>
      <c r="DW41" s="1">
        <v>504.30500000000001</v>
      </c>
      <c r="DX41" s="1">
        <v>514.33600000000001</v>
      </c>
      <c r="DY41" s="1">
        <v>516.21</v>
      </c>
      <c r="DZ41" s="1">
        <v>517.91300000000001</v>
      </c>
      <c r="EA41" s="1">
        <v>517.80999999999995</v>
      </c>
      <c r="EB41" s="1">
        <v>543.37699999999995</v>
      </c>
      <c r="EC41" s="1">
        <v>560.38400000000001</v>
      </c>
      <c r="ED41" s="1">
        <v>522.30799999999999</v>
      </c>
      <c r="EE41" s="1">
        <v>512.33199999999999</v>
      </c>
      <c r="EF41" s="1">
        <v>522.17399999999998</v>
      </c>
      <c r="EG41" s="1">
        <v>505.60500000000002</v>
      </c>
      <c r="EH41" s="1">
        <v>474.00200000000001</v>
      </c>
      <c r="EI41" s="1">
        <v>509.13799999999998</v>
      </c>
      <c r="EJ41" s="1">
        <v>562.51199999999994</v>
      </c>
      <c r="EK41" s="1">
        <v>580.86300000000006</v>
      </c>
      <c r="EL41" s="1">
        <v>624.60400000000004</v>
      </c>
      <c r="EM41" s="1">
        <v>655.31799999999998</v>
      </c>
      <c r="EN41" s="1">
        <v>633.774</v>
      </c>
      <c r="EO41" s="1">
        <v>627.62</v>
      </c>
      <c r="EP41" s="1">
        <v>603.72</v>
      </c>
      <c r="EQ41" s="1">
        <v>607.31399999999996</v>
      </c>
      <c r="ER41" s="1">
        <v>582.16099999999994</v>
      </c>
      <c r="ES41" s="1">
        <v>549.68200000000002</v>
      </c>
      <c r="ET41" s="1">
        <v>579.35299999999995</v>
      </c>
      <c r="EU41" s="1">
        <v>658.85799999999995</v>
      </c>
      <c r="EV41" s="1">
        <v>704.86500000000001</v>
      </c>
      <c r="EW41" s="1">
        <v>705.07100000000003</v>
      </c>
      <c r="EX41" s="1">
        <v>710.40599999999995</v>
      </c>
      <c r="EY41" s="1">
        <v>712.327</v>
      </c>
      <c r="EZ41" s="1">
        <v>641.64200000000005</v>
      </c>
      <c r="FA41" s="1">
        <v>625.10199999999998</v>
      </c>
      <c r="FB41" s="1">
        <v>578.11599999999999</v>
      </c>
      <c r="FC41" s="1">
        <v>578.19600000000003</v>
      </c>
      <c r="FD41" s="1">
        <v>515.14</v>
      </c>
      <c r="FE41" s="1">
        <v>492.524</v>
      </c>
      <c r="FF41" s="1">
        <v>477.815</v>
      </c>
      <c r="FG41" s="1">
        <v>394.18</v>
      </c>
      <c r="FH41" s="1">
        <v>351.322</v>
      </c>
      <c r="FI41" s="1">
        <v>325.26400000000001</v>
      </c>
      <c r="FJ41" s="1">
        <v>330.82100000000003</v>
      </c>
      <c r="FK41" s="1">
        <v>341.721</v>
      </c>
      <c r="FL41" s="1">
        <v>332.12299999999999</v>
      </c>
      <c r="FM41" s="1">
        <v>306.01</v>
      </c>
      <c r="FN41" s="1">
        <v>299.399</v>
      </c>
      <c r="FO41" s="1">
        <v>292.64400000000001</v>
      </c>
      <c r="FP41" s="1">
        <v>278.834</v>
      </c>
      <c r="FQ41" s="1">
        <v>258.80500000000001</v>
      </c>
      <c r="FR41" s="1">
        <v>254.89500000000001</v>
      </c>
      <c r="FS41" s="1">
        <v>254.756</v>
      </c>
      <c r="FT41" s="1">
        <v>254.77</v>
      </c>
      <c r="FU41" s="1">
        <v>253.39099999999999</v>
      </c>
      <c r="FV41" s="1">
        <v>254.02099999999999</v>
      </c>
      <c r="FW41" s="1">
        <v>252.74299999999999</v>
      </c>
      <c r="FX41" s="1">
        <v>251.905</v>
      </c>
      <c r="FY41" s="1">
        <v>253.286</v>
      </c>
      <c r="FZ41" s="1">
        <v>256.37799999999999</v>
      </c>
      <c r="GA41" s="1">
        <v>256.46300000000002</v>
      </c>
      <c r="GB41" s="1">
        <v>254.16800000000001</v>
      </c>
      <c r="GC41" s="1">
        <v>255.78200000000001</v>
      </c>
      <c r="GD41" s="1">
        <v>261.017</v>
      </c>
      <c r="GE41" s="1">
        <v>270.923</v>
      </c>
      <c r="GF41" s="1">
        <v>271.46499999999997</v>
      </c>
      <c r="GG41" s="1">
        <v>267.40600000000001</v>
      </c>
      <c r="GH41" s="1">
        <v>262.40100000000001</v>
      </c>
      <c r="GI41" s="1">
        <v>263.98599999999999</v>
      </c>
      <c r="GJ41" s="1">
        <v>266.94299999999998</v>
      </c>
      <c r="GK41" s="1">
        <v>259.69900000000001</v>
      </c>
      <c r="GL41" s="1">
        <v>256.01</v>
      </c>
      <c r="GM41" s="1">
        <v>252.49799999999999</v>
      </c>
      <c r="GN41" s="1">
        <v>250.32900000000001</v>
      </c>
      <c r="GO41" s="1">
        <v>247.63499999999999</v>
      </c>
      <c r="GP41" s="1">
        <v>244.94800000000001</v>
      </c>
      <c r="GQ41" s="1">
        <v>245.61799999999999</v>
      </c>
      <c r="GR41" s="1">
        <v>246.64500000000001</v>
      </c>
      <c r="GS41" s="1">
        <v>246.72</v>
      </c>
      <c r="GT41" s="1">
        <v>244.61799999999999</v>
      </c>
      <c r="GU41" s="1">
        <v>242.99</v>
      </c>
      <c r="GV41" s="1">
        <v>243.16399999999999</v>
      </c>
      <c r="GW41" s="1">
        <v>246.59700000000001</v>
      </c>
      <c r="GX41" s="1">
        <v>250.74700000000001</v>
      </c>
      <c r="GY41" s="1">
        <v>249.78700000000001</v>
      </c>
      <c r="GZ41" s="1">
        <v>245.97399999999999</v>
      </c>
      <c r="HA41" s="1">
        <v>243.35</v>
      </c>
      <c r="HB41" s="1">
        <v>245.15100000000001</v>
      </c>
      <c r="HC41" s="1">
        <v>244.28</v>
      </c>
      <c r="HD41" s="1">
        <v>242.125</v>
      </c>
      <c r="HE41" s="1">
        <v>242.941</v>
      </c>
      <c r="HF41" s="1">
        <v>246.154</v>
      </c>
      <c r="HG41" s="1">
        <v>246.05500000000001</v>
      </c>
      <c r="HH41" s="1">
        <v>244.768</v>
      </c>
      <c r="HI41" s="1">
        <v>243.41</v>
      </c>
      <c r="HJ41" s="1">
        <v>247.345</v>
      </c>
      <c r="HK41" s="1">
        <v>248.715</v>
      </c>
      <c r="HL41" s="1">
        <v>248.8</v>
      </c>
      <c r="HM41" s="1">
        <v>248.55600000000001</v>
      </c>
      <c r="HN41" s="1">
        <v>255.26400000000001</v>
      </c>
      <c r="HO41" s="1">
        <v>259.66500000000002</v>
      </c>
      <c r="HP41" s="1">
        <v>260.37099999999998</v>
      </c>
      <c r="HQ41" s="1">
        <v>259.88099999999997</v>
      </c>
      <c r="HR41" s="1">
        <v>259.63900000000001</v>
      </c>
      <c r="HS41" s="1">
        <v>260.21699999999998</v>
      </c>
      <c r="HT41" s="1">
        <v>262.86799999999999</v>
      </c>
      <c r="HU41" s="1">
        <v>264.39</v>
      </c>
      <c r="HV41" s="1">
        <v>267.411</v>
      </c>
      <c r="HW41" s="1">
        <v>263.67</v>
      </c>
      <c r="HX41" s="1">
        <v>260.32799999999997</v>
      </c>
      <c r="HY41" s="1">
        <v>261.339</v>
      </c>
      <c r="HZ41" s="1">
        <v>262.55500000000001</v>
      </c>
      <c r="IA41" s="1">
        <v>265.51799999999997</v>
      </c>
      <c r="IB41" s="1">
        <v>268.47500000000002</v>
      </c>
      <c r="IC41" s="1">
        <v>272.89800000000002</v>
      </c>
      <c r="ID41" s="1">
        <v>273.483</v>
      </c>
      <c r="IE41" s="1">
        <v>273.834</v>
      </c>
      <c r="IF41" s="1">
        <v>271.50799999999998</v>
      </c>
      <c r="IG41" s="1">
        <v>270.84199999999998</v>
      </c>
      <c r="IH41" s="1">
        <v>273.17200000000003</v>
      </c>
      <c r="II41" s="1">
        <v>277.83999999999997</v>
      </c>
      <c r="IJ41" s="1">
        <v>269.75099999999998</v>
      </c>
      <c r="IK41" s="1">
        <v>266.613</v>
      </c>
      <c r="IL41" s="1">
        <v>266.76</v>
      </c>
      <c r="IM41" s="1">
        <v>267.76100000000002</v>
      </c>
      <c r="IN41" s="1">
        <v>267.82600000000002</v>
      </c>
      <c r="IO41" s="1">
        <v>268.209</v>
      </c>
      <c r="IP41" s="1">
        <v>264.13499999999999</v>
      </c>
      <c r="IQ41" s="1">
        <v>263.78699999999998</v>
      </c>
      <c r="IR41" s="1">
        <v>270.30900000000003</v>
      </c>
      <c r="IS41" s="1">
        <v>275.21199999999999</v>
      </c>
      <c r="IT41" s="1">
        <v>271.05900000000003</v>
      </c>
      <c r="IU41" s="1">
        <v>267.58</v>
      </c>
      <c r="IV41" s="1">
        <v>265.904</v>
      </c>
      <c r="IW41" s="1">
        <v>266.90199999999999</v>
      </c>
      <c r="IX41" s="1">
        <v>268.26400000000001</v>
      </c>
      <c r="IY41" s="1">
        <v>265.09699999999998</v>
      </c>
      <c r="IZ41" s="1">
        <v>264.33999999999997</v>
      </c>
      <c r="JA41" s="1">
        <v>265.77199999999999</v>
      </c>
      <c r="JB41" s="1"/>
      <c r="JC41" s="1"/>
    </row>
    <row r="42" spans="1:264" x14ac:dyDescent="0.25">
      <c r="A42" s="4" t="s">
        <v>67</v>
      </c>
      <c r="B42" t="s">
        <v>70</v>
      </c>
      <c r="D42" t="s">
        <v>68</v>
      </c>
      <c r="G42" s="3">
        <f ca="1">_xll.BDH(A42&amp;" corp",D42,TODAY()-365,TODAY(),"dir=h","dates=h","sort=r","fill=-","cols=253;rows=1")</f>
        <v>321.78199999999998</v>
      </c>
      <c r="H42" s="1">
        <v>326.11200000000002</v>
      </c>
      <c r="I42" s="1">
        <v>336.279</v>
      </c>
      <c r="J42" s="1">
        <v>329.08199999999999</v>
      </c>
      <c r="K42" s="1">
        <v>317.20800000000003</v>
      </c>
      <c r="L42" s="1">
        <v>307.62099999999998</v>
      </c>
      <c r="M42" s="1">
        <v>316.01499999999999</v>
      </c>
      <c r="N42" s="1">
        <v>322.43799999999999</v>
      </c>
      <c r="O42" s="1">
        <v>316.84199999999998</v>
      </c>
      <c r="P42" s="1">
        <v>322.75200000000001</v>
      </c>
      <c r="Q42" s="1">
        <v>332.69299999999998</v>
      </c>
      <c r="R42" s="1">
        <v>341.05599999999998</v>
      </c>
      <c r="S42" s="1">
        <v>343.04700000000003</v>
      </c>
      <c r="T42" s="1">
        <v>345.67899999999997</v>
      </c>
      <c r="U42" s="1">
        <v>349.30399999999997</v>
      </c>
      <c r="V42" s="1">
        <v>345.45600000000002</v>
      </c>
      <c r="W42" s="1">
        <v>363.21</v>
      </c>
      <c r="X42" s="1">
        <v>354.69</v>
      </c>
      <c r="Y42" s="1">
        <v>333.91300000000001</v>
      </c>
      <c r="Z42" s="1">
        <v>331.00200000000001</v>
      </c>
      <c r="AA42" s="1">
        <v>324.71499999999997</v>
      </c>
      <c r="AB42" s="1">
        <v>297.24799999999999</v>
      </c>
      <c r="AC42" s="1">
        <v>298.00299999999999</v>
      </c>
      <c r="AD42" s="1">
        <v>291.69600000000003</v>
      </c>
      <c r="AE42" s="1">
        <v>312.55099999999999</v>
      </c>
      <c r="AF42" s="1">
        <v>318.32499999999999</v>
      </c>
      <c r="AG42" s="1">
        <v>326.10300000000001</v>
      </c>
      <c r="AH42" s="1">
        <v>315.34199999999998</v>
      </c>
      <c r="AI42" s="1">
        <v>312.74099999999999</v>
      </c>
      <c r="AJ42" s="1">
        <v>328.61200000000002</v>
      </c>
      <c r="AK42" s="1">
        <v>323.101</v>
      </c>
      <c r="AL42" s="1">
        <v>325.75799999999998</v>
      </c>
      <c r="AM42" s="1">
        <v>322.66399999999999</v>
      </c>
      <c r="AN42" s="1">
        <v>306.71199999999999</v>
      </c>
      <c r="AO42" s="1">
        <v>311.21100000000001</v>
      </c>
      <c r="AP42" s="1">
        <v>324.14299999999997</v>
      </c>
      <c r="AQ42" s="1">
        <v>320.29000000000002</v>
      </c>
      <c r="AR42" s="1">
        <v>323.411</v>
      </c>
      <c r="AS42" s="1">
        <v>329.298</v>
      </c>
      <c r="AT42" s="1">
        <v>326.54500000000002</v>
      </c>
      <c r="AU42" s="1">
        <v>332.81299999999999</v>
      </c>
      <c r="AV42" s="1">
        <v>337.67200000000003</v>
      </c>
      <c r="AW42" s="1">
        <v>334.70699999999999</v>
      </c>
      <c r="AX42" s="1">
        <v>341.21699999999998</v>
      </c>
      <c r="AY42" s="1">
        <v>340.41199999999998</v>
      </c>
      <c r="AZ42" s="1">
        <v>344.096</v>
      </c>
      <c r="BA42" s="1">
        <v>334.70600000000002</v>
      </c>
      <c r="BB42" s="1">
        <v>335.142</v>
      </c>
      <c r="BC42" s="1">
        <v>342.50299999999999</v>
      </c>
      <c r="BD42" s="1">
        <v>347.44400000000002</v>
      </c>
      <c r="BE42" s="1">
        <v>343.101</v>
      </c>
      <c r="BF42" s="1">
        <v>347.38099999999997</v>
      </c>
      <c r="BG42" s="1">
        <v>343.286</v>
      </c>
      <c r="BH42" s="1">
        <v>353.09399999999999</v>
      </c>
      <c r="BI42" s="1">
        <v>358.90800000000002</v>
      </c>
      <c r="BJ42" s="1">
        <v>377.26</v>
      </c>
      <c r="BK42" s="1">
        <v>378.03199999999998</v>
      </c>
      <c r="BL42" s="1">
        <v>360.86599999999999</v>
      </c>
      <c r="BM42" s="1">
        <v>366.15600000000001</v>
      </c>
      <c r="BN42" s="1">
        <v>360.82600000000002</v>
      </c>
      <c r="BO42" s="1">
        <v>346.43</v>
      </c>
      <c r="BP42" s="1">
        <v>339.73599999999999</v>
      </c>
      <c r="BQ42" s="1">
        <v>343.41300000000001</v>
      </c>
      <c r="BR42" s="1">
        <v>341.96699999999998</v>
      </c>
      <c r="BS42" s="1">
        <v>345.01100000000002</v>
      </c>
      <c r="BT42" s="1">
        <v>367.899</v>
      </c>
      <c r="BU42" s="1">
        <v>367.084</v>
      </c>
      <c r="BV42" s="1">
        <v>368.78500000000003</v>
      </c>
      <c r="BW42" s="1">
        <v>374.11599999999999</v>
      </c>
      <c r="BX42" s="1">
        <v>368.935</v>
      </c>
      <c r="BY42" s="1">
        <v>377.52</v>
      </c>
      <c r="BZ42" s="1">
        <v>374.35500000000002</v>
      </c>
      <c r="CA42" s="1">
        <v>365.34</v>
      </c>
      <c r="CB42" s="1">
        <v>364.601</v>
      </c>
      <c r="CC42" s="1">
        <v>355.358</v>
      </c>
      <c r="CD42" s="1">
        <v>373.22800000000001</v>
      </c>
      <c r="CE42" s="1">
        <v>368.53800000000001</v>
      </c>
      <c r="CF42" s="1">
        <v>369.67</v>
      </c>
      <c r="CG42" s="1">
        <v>382.27699999999999</v>
      </c>
      <c r="CH42" s="1">
        <v>396.30799999999999</v>
      </c>
      <c r="CI42" s="1">
        <v>407.86200000000002</v>
      </c>
      <c r="CJ42" s="1">
        <v>397.64600000000002</v>
      </c>
      <c r="CK42" s="1">
        <v>398.988</v>
      </c>
      <c r="CL42" s="1">
        <v>378.41199999999998</v>
      </c>
      <c r="CM42" s="1">
        <v>392.30799999999999</v>
      </c>
      <c r="CN42" s="1">
        <v>385.863</v>
      </c>
      <c r="CO42" s="1">
        <v>384.30500000000001</v>
      </c>
      <c r="CP42" s="1">
        <v>373.08199999999999</v>
      </c>
      <c r="CQ42" s="1">
        <v>371.26400000000001</v>
      </c>
      <c r="CR42" s="1">
        <v>404.48099999999999</v>
      </c>
      <c r="CS42" s="1">
        <v>398.47199999999998</v>
      </c>
      <c r="CT42" s="1">
        <v>402.267</v>
      </c>
      <c r="CU42" s="1">
        <v>376.822</v>
      </c>
      <c r="CV42" s="1">
        <v>360.70299999999997</v>
      </c>
      <c r="CW42" s="1">
        <v>341.54899999999998</v>
      </c>
      <c r="CX42" s="1">
        <v>337.03500000000003</v>
      </c>
      <c r="CY42" s="1">
        <v>370.49099999999999</v>
      </c>
      <c r="CZ42" s="1">
        <v>376.07600000000002</v>
      </c>
      <c r="DA42" s="1">
        <v>389.67599999999999</v>
      </c>
      <c r="DB42" s="1">
        <v>412.98200000000003</v>
      </c>
      <c r="DC42" s="1">
        <v>428.80799999999999</v>
      </c>
      <c r="DD42" s="1">
        <v>415.16699999999997</v>
      </c>
      <c r="DE42" s="1">
        <v>429.084</v>
      </c>
      <c r="DF42" s="1">
        <v>446.91</v>
      </c>
      <c r="DG42" s="1">
        <v>483.387</v>
      </c>
      <c r="DH42" s="1">
        <v>476.26799999999997</v>
      </c>
      <c r="DI42" s="1">
        <v>460.41800000000001</v>
      </c>
      <c r="DJ42" s="1">
        <v>490.161</v>
      </c>
      <c r="DK42" s="1">
        <v>498.572</v>
      </c>
      <c r="DL42" s="1">
        <v>542.04</v>
      </c>
      <c r="DM42" s="1">
        <v>540.76</v>
      </c>
      <c r="DN42" s="1">
        <v>521.06299999999999</v>
      </c>
      <c r="DO42" s="1">
        <v>502.798</v>
      </c>
      <c r="DP42" s="1">
        <v>506.63400000000001</v>
      </c>
      <c r="DQ42" s="1">
        <v>515.21299999999997</v>
      </c>
      <c r="DR42" s="1">
        <v>521.255</v>
      </c>
      <c r="DS42" s="1">
        <v>509.11</v>
      </c>
      <c r="DT42" s="1">
        <v>522.53300000000002</v>
      </c>
      <c r="DU42" s="1">
        <v>512.05799999999999</v>
      </c>
      <c r="DV42" s="1">
        <v>491.52199999999999</v>
      </c>
      <c r="DW42" s="1">
        <v>477.37</v>
      </c>
      <c r="DX42" s="1">
        <v>494.452</v>
      </c>
      <c r="DY42" s="1">
        <v>492.62299999999999</v>
      </c>
      <c r="DZ42" s="1">
        <v>501.517</v>
      </c>
      <c r="EA42" s="1">
        <v>486.464</v>
      </c>
      <c r="EB42" s="1">
        <v>505.649</v>
      </c>
      <c r="EC42" s="1">
        <v>555.54700000000003</v>
      </c>
      <c r="ED42" s="1">
        <v>504.26900000000001</v>
      </c>
      <c r="EE42" s="1">
        <v>485.09100000000001</v>
      </c>
      <c r="EF42" s="1">
        <v>494.238</v>
      </c>
      <c r="EG42" s="1">
        <v>490.81200000000001</v>
      </c>
      <c r="EH42" s="1">
        <v>449.52300000000002</v>
      </c>
      <c r="EI42" s="1">
        <v>464.22800000000001</v>
      </c>
      <c r="EJ42" s="1">
        <v>531.60699999999997</v>
      </c>
      <c r="EK42" s="1">
        <v>540.47199999999998</v>
      </c>
      <c r="EL42" s="1">
        <v>583.51199999999994</v>
      </c>
      <c r="EM42" s="1">
        <v>638.13199999999995</v>
      </c>
      <c r="EN42" s="1">
        <v>612.53399999999999</v>
      </c>
      <c r="EO42" s="1">
        <v>605.745</v>
      </c>
      <c r="EP42" s="1">
        <v>571.76800000000003</v>
      </c>
      <c r="EQ42" s="1">
        <v>581.697</v>
      </c>
      <c r="ER42" s="1">
        <v>576.11599999999999</v>
      </c>
      <c r="ES42" s="1">
        <v>513.83799999999997</v>
      </c>
      <c r="ET42" s="1">
        <v>531.37599999999998</v>
      </c>
      <c r="EU42" s="1">
        <v>594.97500000000002</v>
      </c>
      <c r="EV42" s="1">
        <v>691.55200000000002</v>
      </c>
      <c r="EW42" s="1">
        <v>675.24699999999996</v>
      </c>
      <c r="EX42" s="1">
        <v>674.726</v>
      </c>
      <c r="EY42" s="1">
        <v>707.64400000000001</v>
      </c>
      <c r="EZ42" s="1">
        <v>613.21400000000006</v>
      </c>
      <c r="FA42" s="1">
        <v>618.53399999999999</v>
      </c>
      <c r="FB42" s="1">
        <v>518.63499999999999</v>
      </c>
      <c r="FC42" s="1">
        <v>554.16700000000003</v>
      </c>
      <c r="FD42" s="1">
        <v>479.64299999999997</v>
      </c>
      <c r="FE42" s="1">
        <v>455.83499999999998</v>
      </c>
      <c r="FF42" s="1">
        <v>465.13600000000002</v>
      </c>
      <c r="FG42" s="1">
        <v>383.322</v>
      </c>
      <c r="FH42" s="1">
        <v>325.17399999999998</v>
      </c>
      <c r="FI42" s="1">
        <v>292.82400000000001</v>
      </c>
      <c r="FJ42" s="1">
        <v>282.91399999999999</v>
      </c>
      <c r="FK42" s="1">
        <v>304.09399999999999</v>
      </c>
      <c r="FL42" s="1">
        <v>303.27199999999999</v>
      </c>
      <c r="FM42" s="1">
        <v>272.084</v>
      </c>
      <c r="FN42" s="1">
        <v>258.35899999999998</v>
      </c>
      <c r="FO42" s="1">
        <v>253.90299999999999</v>
      </c>
      <c r="FP42" s="1">
        <v>243.233</v>
      </c>
      <c r="FQ42" s="1">
        <v>219.42699999999999</v>
      </c>
      <c r="FR42" s="1">
        <v>215.76900000000001</v>
      </c>
      <c r="FS42" s="1">
        <v>212.35300000000001</v>
      </c>
      <c r="FT42" s="1">
        <v>214.155</v>
      </c>
      <c r="FU42" s="1">
        <v>210.965</v>
      </c>
      <c r="FV42" s="1">
        <v>212.839</v>
      </c>
      <c r="FW42" s="1">
        <v>212.36500000000001</v>
      </c>
      <c r="FX42" s="1">
        <v>210.14500000000001</v>
      </c>
      <c r="FY42" s="1">
        <v>210.911</v>
      </c>
      <c r="FZ42" s="1">
        <v>213.477</v>
      </c>
      <c r="GA42" s="1">
        <v>216.18600000000001</v>
      </c>
      <c r="GB42" s="1">
        <v>212.47499999999999</v>
      </c>
      <c r="GC42" s="1">
        <v>213.17500000000001</v>
      </c>
      <c r="GD42" s="1">
        <v>217.76</v>
      </c>
      <c r="GE42" s="1">
        <v>228.11199999999999</v>
      </c>
      <c r="GF42" s="1">
        <v>230.55500000000001</v>
      </c>
      <c r="GG42" s="1">
        <v>227.22399999999999</v>
      </c>
      <c r="GH42" s="1">
        <v>222.53899999999999</v>
      </c>
      <c r="GI42" s="1">
        <v>220.91499999999999</v>
      </c>
      <c r="GJ42" s="1">
        <v>228.983</v>
      </c>
      <c r="GK42" s="1">
        <v>219.95400000000001</v>
      </c>
      <c r="GL42" s="1">
        <v>217.96600000000001</v>
      </c>
      <c r="GM42" s="1">
        <v>213.18</v>
      </c>
      <c r="GN42" s="1">
        <v>211.858</v>
      </c>
      <c r="GO42" s="1">
        <v>208.41399999999999</v>
      </c>
      <c r="GP42" s="1">
        <v>207.321</v>
      </c>
      <c r="GQ42" s="1">
        <v>207.50399999999999</v>
      </c>
      <c r="GR42" s="1">
        <v>208.65899999999999</v>
      </c>
      <c r="GS42" s="1">
        <v>209.68100000000001</v>
      </c>
      <c r="GT42" s="1">
        <v>206.95500000000001</v>
      </c>
      <c r="GU42" s="1">
        <v>205.57599999999999</v>
      </c>
      <c r="GV42" s="1">
        <v>203.66499999999999</v>
      </c>
      <c r="GW42" s="1">
        <v>207.459</v>
      </c>
      <c r="GX42" s="1">
        <v>212.48599999999999</v>
      </c>
      <c r="GY42" s="1">
        <v>212.32400000000001</v>
      </c>
      <c r="GZ42" s="1">
        <v>209.15700000000001</v>
      </c>
      <c r="HA42" s="1">
        <v>204.65899999999999</v>
      </c>
      <c r="HB42" s="1">
        <v>207.203</v>
      </c>
      <c r="HC42" s="1">
        <v>205.16900000000001</v>
      </c>
      <c r="HD42" s="1">
        <v>204.37700000000001</v>
      </c>
      <c r="HE42" s="1">
        <v>208.85</v>
      </c>
      <c r="HF42" s="1">
        <v>208.92599999999999</v>
      </c>
      <c r="HG42" s="1">
        <v>205.04300000000001</v>
      </c>
      <c r="HH42" s="1">
        <v>209.11</v>
      </c>
      <c r="HI42" s="1">
        <v>210.184</v>
      </c>
      <c r="HJ42" s="1">
        <v>210.96899999999999</v>
      </c>
      <c r="HK42" s="1">
        <v>209.09399999999999</v>
      </c>
      <c r="HL42" s="1">
        <v>215.30600000000001</v>
      </c>
      <c r="HM42" s="1">
        <v>220.40600000000001</v>
      </c>
      <c r="HN42" s="1">
        <v>221.58099999999999</v>
      </c>
      <c r="HO42" s="1">
        <v>221.267</v>
      </c>
      <c r="HP42" s="1">
        <v>221.11</v>
      </c>
      <c r="HQ42" s="1">
        <v>220.02799999999999</v>
      </c>
      <c r="HR42" s="1">
        <v>224.16200000000001</v>
      </c>
      <c r="HS42" s="1">
        <v>223.46299999999999</v>
      </c>
      <c r="HT42" s="1">
        <v>229.54499999999999</v>
      </c>
      <c r="HU42" s="1">
        <v>225.58799999999999</v>
      </c>
      <c r="HV42" s="1">
        <v>220.89699999999999</v>
      </c>
      <c r="HW42" s="1">
        <v>221.892</v>
      </c>
      <c r="HX42" s="1">
        <v>222.655</v>
      </c>
      <c r="HY42" s="1">
        <v>226.678</v>
      </c>
      <c r="HZ42" s="1">
        <v>228.012</v>
      </c>
      <c r="IA42" s="1">
        <v>234.00700000000001</v>
      </c>
      <c r="IB42" s="1">
        <v>234.869</v>
      </c>
      <c r="IC42" s="1">
        <v>235.85599999999999</v>
      </c>
      <c r="ID42" s="1">
        <v>232.97900000000001</v>
      </c>
      <c r="IE42" s="1">
        <v>231.65</v>
      </c>
      <c r="IF42" s="1">
        <v>232.566</v>
      </c>
      <c r="IG42" s="1">
        <v>239.971</v>
      </c>
      <c r="IH42" s="1">
        <v>235.5</v>
      </c>
      <c r="II42" s="1">
        <v>231.16499999999999</v>
      </c>
      <c r="IJ42" s="1">
        <v>229.898</v>
      </c>
      <c r="IK42" s="1">
        <v>230.5</v>
      </c>
      <c r="IL42" s="1">
        <v>232.09800000000001</v>
      </c>
      <c r="IM42" s="1">
        <v>234.363</v>
      </c>
      <c r="IN42" s="1">
        <v>228.476</v>
      </c>
      <c r="IO42" s="1">
        <v>226.197</v>
      </c>
      <c r="IP42" s="1">
        <v>232.56200000000001</v>
      </c>
      <c r="IQ42" s="1">
        <v>239.399</v>
      </c>
      <c r="IR42" s="1">
        <v>236.90700000000001</v>
      </c>
      <c r="IS42" s="1">
        <v>232.541</v>
      </c>
      <c r="IT42" s="1">
        <v>227.88800000000001</v>
      </c>
      <c r="IU42" s="1">
        <v>228.15899999999999</v>
      </c>
      <c r="IV42" s="1">
        <v>231.71799999999999</v>
      </c>
      <c r="IW42" s="1">
        <v>228.542</v>
      </c>
      <c r="IX42" s="1">
        <v>225.74199999999999</v>
      </c>
      <c r="IY42" s="1">
        <v>224.959</v>
      </c>
      <c r="IZ42" s="1"/>
      <c r="JA42" s="1"/>
      <c r="JB42" s="1"/>
      <c r="JC42" s="1"/>
    </row>
    <row r="43" spans="1:264" x14ac:dyDescent="0.25">
      <c r="A43" s="4" t="s">
        <v>69</v>
      </c>
      <c r="B43" t="s">
        <v>70</v>
      </c>
      <c r="D43" t="s">
        <v>68</v>
      </c>
      <c r="G43" s="3">
        <f ca="1">_xll.BDH(A43&amp;" corp",D43,TODAY()-365,TODAY(),"dir=h","dates=h","sort=r","fill=-","cols=255;rows=1")</f>
        <v>285.88299999999998</v>
      </c>
      <c r="H43" s="1">
        <v>294.98899999999998</v>
      </c>
      <c r="I43" s="1">
        <v>298.29399999999998</v>
      </c>
      <c r="J43" s="1">
        <v>290.52600000000001</v>
      </c>
      <c r="K43" s="1">
        <v>279.28699999999998</v>
      </c>
      <c r="L43" s="1">
        <v>275.19099999999997</v>
      </c>
      <c r="M43" s="1">
        <v>282.06299999999999</v>
      </c>
      <c r="N43" s="1">
        <v>286.02300000000002</v>
      </c>
      <c r="O43" s="1">
        <v>284.702</v>
      </c>
      <c r="P43" s="1">
        <v>292.31900000000002</v>
      </c>
      <c r="Q43" s="1">
        <v>301.69499999999999</v>
      </c>
      <c r="R43" s="1">
        <v>309.02800000000002</v>
      </c>
      <c r="S43" s="1">
        <v>308.762</v>
      </c>
      <c r="T43" s="1">
        <v>310.91000000000003</v>
      </c>
      <c r="U43" s="1">
        <v>313.50400000000002</v>
      </c>
      <c r="V43" s="1">
        <v>313.84899999999999</v>
      </c>
      <c r="W43" s="1">
        <v>322.31200000000001</v>
      </c>
      <c r="X43" s="1">
        <v>312.154</v>
      </c>
      <c r="Y43" s="1">
        <v>297.74200000000002</v>
      </c>
      <c r="Z43" s="1">
        <v>291.85199999999998</v>
      </c>
      <c r="AA43" s="1">
        <v>300.601</v>
      </c>
      <c r="AB43" s="1">
        <v>268.66800000000001</v>
      </c>
      <c r="AC43" s="1">
        <v>266.37299999999999</v>
      </c>
      <c r="AD43" s="1">
        <v>265.69400000000002</v>
      </c>
      <c r="AE43" s="1">
        <v>286.65300000000002</v>
      </c>
      <c r="AF43" s="1">
        <v>289.62900000000002</v>
      </c>
      <c r="AG43" s="1">
        <v>283.952</v>
      </c>
      <c r="AH43" s="1">
        <v>275.86500000000001</v>
      </c>
      <c r="AI43" s="1">
        <v>276.64999999999998</v>
      </c>
      <c r="AJ43" s="1">
        <v>287.154</v>
      </c>
      <c r="AK43" s="1">
        <v>284.03300000000002</v>
      </c>
      <c r="AL43" s="1">
        <v>283.8</v>
      </c>
      <c r="AM43" s="1">
        <v>285.48700000000002</v>
      </c>
      <c r="AN43" s="1">
        <v>271.54300000000001</v>
      </c>
      <c r="AO43" s="1">
        <v>278.99400000000003</v>
      </c>
      <c r="AP43" s="1">
        <v>282.63900000000001</v>
      </c>
      <c r="AQ43" s="1">
        <v>281.52800000000002</v>
      </c>
      <c r="AR43" s="1">
        <v>283.26400000000001</v>
      </c>
      <c r="AS43" s="1">
        <v>286.24</v>
      </c>
      <c r="AT43" s="1">
        <v>287.77100000000002</v>
      </c>
      <c r="AU43" s="1">
        <v>295.88799999999998</v>
      </c>
      <c r="AV43" s="1">
        <v>297.959</v>
      </c>
      <c r="AW43" s="1">
        <v>298.13</v>
      </c>
      <c r="AX43" s="1">
        <v>301.69</v>
      </c>
      <c r="AY43" s="1">
        <v>303.81599999999997</v>
      </c>
      <c r="AZ43" s="1">
        <v>302.59500000000003</v>
      </c>
      <c r="BA43" s="1">
        <v>296.67700000000002</v>
      </c>
      <c r="BB43" s="1">
        <v>297.73599999999999</v>
      </c>
      <c r="BC43" s="1">
        <v>301.90899999999999</v>
      </c>
      <c r="BD43" s="1">
        <v>304.56700000000001</v>
      </c>
      <c r="BE43" s="1">
        <v>303.60500000000002</v>
      </c>
      <c r="BF43" s="1">
        <v>306.01799999999997</v>
      </c>
      <c r="BG43" s="1">
        <v>307.053</v>
      </c>
      <c r="BH43" s="1">
        <v>316.05099999999999</v>
      </c>
      <c r="BI43" s="1">
        <v>324.17</v>
      </c>
      <c r="BJ43" s="1">
        <v>334.74900000000002</v>
      </c>
      <c r="BK43" s="1">
        <v>328.41399999999999</v>
      </c>
      <c r="BL43" s="1">
        <v>319.12799999999999</v>
      </c>
      <c r="BM43" s="1">
        <v>319.5</v>
      </c>
      <c r="BN43" s="1">
        <v>313.26499999999999</v>
      </c>
      <c r="BO43" s="1">
        <v>302.23700000000002</v>
      </c>
      <c r="BP43" s="1">
        <v>298.50799999999998</v>
      </c>
      <c r="BQ43" s="1">
        <v>298.94299999999998</v>
      </c>
      <c r="BR43" s="1">
        <v>300.12200000000001</v>
      </c>
      <c r="BS43" s="1">
        <v>309.56799999999998</v>
      </c>
      <c r="BT43" s="1">
        <v>322.35700000000003</v>
      </c>
      <c r="BU43" s="1">
        <v>323.09399999999999</v>
      </c>
      <c r="BV43" s="1">
        <v>326.76100000000002</v>
      </c>
      <c r="BW43" s="1">
        <v>329.38900000000001</v>
      </c>
      <c r="BX43" s="1">
        <v>328.92899999999997</v>
      </c>
      <c r="BY43" s="1">
        <v>331.25599999999997</v>
      </c>
      <c r="BZ43" s="1">
        <v>326.97500000000002</v>
      </c>
      <c r="CA43" s="1">
        <v>320.33300000000003</v>
      </c>
      <c r="CB43" s="1">
        <v>315.303</v>
      </c>
      <c r="CC43" s="1">
        <v>316.62400000000002</v>
      </c>
      <c r="CD43" s="1">
        <v>324.11099999999999</v>
      </c>
      <c r="CE43" s="1">
        <v>322.10700000000003</v>
      </c>
      <c r="CF43" s="1">
        <v>329.03800000000001</v>
      </c>
      <c r="CG43" s="1">
        <v>342.05</v>
      </c>
      <c r="CH43" s="1">
        <v>355.96100000000001</v>
      </c>
      <c r="CI43" s="1">
        <v>357.08199999999999</v>
      </c>
      <c r="CJ43" s="1">
        <v>348.226</v>
      </c>
      <c r="CK43" s="1">
        <v>344.59100000000001</v>
      </c>
      <c r="CL43" s="1">
        <v>335.29</v>
      </c>
      <c r="CM43" s="1">
        <v>344.30599999999998</v>
      </c>
      <c r="CN43" s="1">
        <v>340.59100000000001</v>
      </c>
      <c r="CO43" s="1">
        <v>336.02800000000002</v>
      </c>
      <c r="CP43" s="1">
        <v>326.11900000000003</v>
      </c>
      <c r="CQ43" s="1">
        <v>333.59899999999999</v>
      </c>
      <c r="CR43" s="1">
        <v>359.375</v>
      </c>
      <c r="CS43" s="1">
        <v>357.48099999999999</v>
      </c>
      <c r="CT43" s="1">
        <v>351.16699999999997</v>
      </c>
      <c r="CU43" s="1">
        <v>325.41500000000002</v>
      </c>
      <c r="CV43" s="1">
        <v>306.78899999999999</v>
      </c>
      <c r="CW43" s="1">
        <v>299.702</v>
      </c>
      <c r="CX43" s="1">
        <v>305.01</v>
      </c>
      <c r="CY43" s="1">
        <v>326.81599999999997</v>
      </c>
      <c r="CZ43" s="1">
        <v>336.42500000000001</v>
      </c>
      <c r="DA43" s="1">
        <v>351.13299999999998</v>
      </c>
      <c r="DB43" s="1">
        <v>374.93299999999999</v>
      </c>
      <c r="DC43" s="1">
        <v>384.93400000000003</v>
      </c>
      <c r="DD43" s="1">
        <v>378.22699999999998</v>
      </c>
      <c r="DE43" s="1">
        <v>389.92500000000001</v>
      </c>
      <c r="DF43" s="1">
        <v>410.63</v>
      </c>
      <c r="DG43" s="1">
        <v>436.28500000000003</v>
      </c>
      <c r="DH43" s="1">
        <v>434.98</v>
      </c>
      <c r="DI43" s="1">
        <v>434.435</v>
      </c>
      <c r="DJ43" s="1">
        <v>449.37200000000001</v>
      </c>
      <c r="DK43" s="1">
        <v>470.35599999999999</v>
      </c>
      <c r="DL43" s="1">
        <v>497.80900000000003</v>
      </c>
      <c r="DM43" s="1">
        <v>488.66199999999998</v>
      </c>
      <c r="DN43" s="1">
        <v>473.959</v>
      </c>
      <c r="DO43" s="1">
        <v>464.726</v>
      </c>
      <c r="DP43" s="1">
        <v>472.47199999999998</v>
      </c>
      <c r="DQ43" s="1">
        <v>476.964</v>
      </c>
      <c r="DR43" s="1">
        <v>475.94299999999998</v>
      </c>
      <c r="DS43" s="1">
        <v>472.98500000000001</v>
      </c>
      <c r="DT43" s="1">
        <v>480.863</v>
      </c>
      <c r="DU43" s="1">
        <v>466.44900000000001</v>
      </c>
      <c r="DV43" s="1">
        <v>446.02699999999999</v>
      </c>
      <c r="DW43" s="1">
        <v>440.00400000000002</v>
      </c>
      <c r="DX43" s="1">
        <v>450.55200000000002</v>
      </c>
      <c r="DY43" s="1">
        <v>455.99599999999998</v>
      </c>
      <c r="DZ43" s="1">
        <v>457.02600000000001</v>
      </c>
      <c r="EA43" s="1">
        <v>455.60700000000003</v>
      </c>
      <c r="EB43" s="1">
        <v>480.654</v>
      </c>
      <c r="EC43" s="1">
        <v>497.17899999999997</v>
      </c>
      <c r="ED43" s="1">
        <v>461.62</v>
      </c>
      <c r="EE43" s="1">
        <v>441.82400000000001</v>
      </c>
      <c r="EF43" s="1">
        <v>449.55799999999999</v>
      </c>
      <c r="EG43" s="1">
        <v>430.15100000000001</v>
      </c>
      <c r="EH43" s="1">
        <v>403.97399999999999</v>
      </c>
      <c r="EI43" s="1">
        <v>435.96600000000001</v>
      </c>
      <c r="EJ43" s="1">
        <v>485.75200000000001</v>
      </c>
      <c r="EK43" s="1">
        <v>503.88600000000002</v>
      </c>
      <c r="EL43" s="1">
        <v>547.11599999999999</v>
      </c>
      <c r="EM43" s="1">
        <v>579.23900000000003</v>
      </c>
      <c r="EN43" s="1">
        <v>557.00099999999998</v>
      </c>
      <c r="EO43" s="1">
        <v>549.16899999999998</v>
      </c>
      <c r="EP43" s="1">
        <v>524.76700000000005</v>
      </c>
      <c r="EQ43" s="1">
        <v>524.16899999999998</v>
      </c>
      <c r="ER43" s="1">
        <v>497.75099999999998</v>
      </c>
      <c r="ES43" s="1">
        <v>466.57799999999997</v>
      </c>
      <c r="ET43" s="1">
        <v>495.86500000000001</v>
      </c>
      <c r="EU43" s="1">
        <v>579.55100000000004</v>
      </c>
      <c r="EV43" s="1">
        <v>628.25199999999995</v>
      </c>
      <c r="EW43" s="1">
        <v>603.44000000000005</v>
      </c>
      <c r="EX43" s="1">
        <v>609.80899999999997</v>
      </c>
      <c r="EY43" s="1">
        <v>612.96699999999998</v>
      </c>
      <c r="EZ43" s="1">
        <v>534.04300000000001</v>
      </c>
      <c r="FA43" s="1">
        <v>513.779</v>
      </c>
      <c r="FB43" s="1">
        <v>460.99299999999999</v>
      </c>
      <c r="FC43" s="1">
        <v>464.13799999999998</v>
      </c>
      <c r="FD43" s="1">
        <v>399.07299999999998</v>
      </c>
      <c r="FE43" s="1">
        <v>382.709</v>
      </c>
      <c r="FF43" s="1">
        <v>370.97899999999998</v>
      </c>
      <c r="FG43" s="1">
        <v>286.66500000000002</v>
      </c>
      <c r="FH43" s="1">
        <v>247.66200000000001</v>
      </c>
      <c r="FI43" s="1">
        <v>223.244</v>
      </c>
      <c r="FJ43" s="1">
        <v>228.33099999999999</v>
      </c>
      <c r="FK43" s="1">
        <v>234.875</v>
      </c>
      <c r="FL43" s="1">
        <v>223.72499999999999</v>
      </c>
      <c r="FM43" s="1">
        <v>197.63499999999999</v>
      </c>
      <c r="FN43" s="1">
        <v>192.40600000000001</v>
      </c>
      <c r="FO43" s="1">
        <v>186.91499999999999</v>
      </c>
      <c r="FP43" s="1">
        <v>174.803</v>
      </c>
      <c r="FQ43" s="1">
        <v>159.13</v>
      </c>
      <c r="FR43" s="1">
        <v>155.524</v>
      </c>
      <c r="FS43" s="1">
        <v>152.46299999999999</v>
      </c>
      <c r="FT43" s="1">
        <v>152.20599999999999</v>
      </c>
      <c r="FU43" s="1">
        <v>150.95699999999999</v>
      </c>
      <c r="FV43" s="1">
        <v>151.761</v>
      </c>
      <c r="FW43" s="1">
        <v>150.51</v>
      </c>
      <c r="FX43" s="1">
        <v>149.93</v>
      </c>
      <c r="FY43" s="1">
        <v>151.14599999999999</v>
      </c>
      <c r="FZ43" s="1">
        <v>153.584</v>
      </c>
      <c r="GA43" s="1">
        <v>153.71299999999999</v>
      </c>
      <c r="GB43" s="1">
        <v>151.922</v>
      </c>
      <c r="GC43" s="1">
        <v>152.56299999999999</v>
      </c>
      <c r="GD43" s="1">
        <v>160.00700000000001</v>
      </c>
      <c r="GE43" s="1">
        <v>166.07</v>
      </c>
      <c r="GF43" s="1">
        <v>166.416</v>
      </c>
      <c r="GG43" s="1">
        <v>162.81899999999999</v>
      </c>
      <c r="GH43" s="1">
        <v>159.31</v>
      </c>
      <c r="GI43" s="1">
        <v>161.012</v>
      </c>
      <c r="GJ43" s="1">
        <v>162.072</v>
      </c>
      <c r="GK43" s="1">
        <v>158.13300000000001</v>
      </c>
      <c r="GL43" s="1">
        <v>154.69999999999999</v>
      </c>
      <c r="GM43" s="1">
        <v>152.113</v>
      </c>
      <c r="GN43" s="1">
        <v>150.696</v>
      </c>
      <c r="GO43" s="1">
        <v>148.405</v>
      </c>
      <c r="GP43" s="1">
        <v>147.66200000000001</v>
      </c>
      <c r="GQ43" s="1">
        <v>147.94999999999999</v>
      </c>
      <c r="GR43" s="1">
        <v>148.673</v>
      </c>
      <c r="GS43" s="1">
        <v>148.36099999999999</v>
      </c>
      <c r="GT43" s="1">
        <v>146.54499999999999</v>
      </c>
      <c r="GU43" s="1">
        <v>145.5</v>
      </c>
      <c r="GV43" s="1">
        <v>146.09200000000001</v>
      </c>
      <c r="GW43" s="1">
        <v>148.88300000000001</v>
      </c>
      <c r="GX43" s="1">
        <v>152.251</v>
      </c>
      <c r="GY43" s="1">
        <v>151.45500000000001</v>
      </c>
      <c r="GZ43" s="1">
        <v>148.161</v>
      </c>
      <c r="HA43" s="1">
        <v>146.345</v>
      </c>
      <c r="HB43" s="1">
        <v>147.77699999999999</v>
      </c>
      <c r="HC43" s="1">
        <v>146.97499999999999</v>
      </c>
      <c r="HD43" s="1">
        <v>145.44800000000001</v>
      </c>
      <c r="HE43" s="1">
        <v>146.73699999999999</v>
      </c>
      <c r="HF43" s="1">
        <v>149.85900000000001</v>
      </c>
      <c r="HG43" s="1">
        <v>149.82900000000001</v>
      </c>
      <c r="HH43" s="1">
        <v>148.886</v>
      </c>
      <c r="HI43" s="1">
        <v>147.66399999999999</v>
      </c>
      <c r="HJ43" s="1">
        <v>151.22300000000001</v>
      </c>
      <c r="HK43" s="1">
        <v>152.262</v>
      </c>
      <c r="HL43" s="1">
        <v>152.23599999999999</v>
      </c>
      <c r="HM43" s="1">
        <v>152.84200000000001</v>
      </c>
      <c r="HN43" s="1">
        <v>158.06200000000001</v>
      </c>
      <c r="HO43" s="1">
        <v>161.822</v>
      </c>
      <c r="HP43" s="1">
        <v>162.79</v>
      </c>
      <c r="HQ43" s="1">
        <v>162.13800000000001</v>
      </c>
      <c r="HR43" s="1">
        <v>161.87799999999999</v>
      </c>
      <c r="HS43" s="1">
        <v>162.262</v>
      </c>
      <c r="HT43" s="1">
        <v>164.27699999999999</v>
      </c>
      <c r="HU43" s="1">
        <v>165.88499999999999</v>
      </c>
      <c r="HV43" s="1">
        <v>168.887</v>
      </c>
      <c r="HW43" s="1">
        <v>165.87</v>
      </c>
      <c r="HX43" s="1">
        <v>163.137</v>
      </c>
      <c r="HY43" s="1">
        <v>163.678</v>
      </c>
      <c r="HZ43" s="1">
        <v>165</v>
      </c>
      <c r="IA43" s="1">
        <v>167.60300000000001</v>
      </c>
      <c r="IB43" s="1">
        <v>169.71899999999999</v>
      </c>
      <c r="IC43" s="1">
        <v>173.607</v>
      </c>
      <c r="ID43" s="1">
        <v>174.06299999999999</v>
      </c>
      <c r="IE43" s="1">
        <v>174.19399999999999</v>
      </c>
      <c r="IF43" s="1">
        <v>172.79499999999999</v>
      </c>
      <c r="IG43" s="1">
        <v>172.00200000000001</v>
      </c>
      <c r="IH43" s="1">
        <v>174.417</v>
      </c>
      <c r="II43" s="1">
        <v>178.333</v>
      </c>
      <c r="IJ43" s="1">
        <v>173.68700000000001</v>
      </c>
      <c r="IK43" s="1">
        <v>171.49100000000001</v>
      </c>
      <c r="IL43" s="1">
        <v>171.55600000000001</v>
      </c>
      <c r="IM43" s="1">
        <v>171.952</v>
      </c>
      <c r="IN43" s="1">
        <v>172.42099999999999</v>
      </c>
      <c r="IO43" s="1">
        <v>172.11099999999999</v>
      </c>
      <c r="IP43" s="1">
        <v>168.43899999999999</v>
      </c>
      <c r="IQ43" s="1">
        <v>167.53800000000001</v>
      </c>
      <c r="IR43" s="1">
        <v>173.184</v>
      </c>
      <c r="IS43" s="1">
        <v>177.16900000000001</v>
      </c>
      <c r="IT43" s="1">
        <v>173.79900000000001</v>
      </c>
      <c r="IU43" s="1">
        <v>169.595</v>
      </c>
      <c r="IV43" s="1">
        <v>166.55600000000001</v>
      </c>
      <c r="IW43" s="1">
        <v>167.589</v>
      </c>
      <c r="IX43" s="1">
        <v>168.91200000000001</v>
      </c>
      <c r="IY43" s="1">
        <v>166.83799999999999</v>
      </c>
      <c r="IZ43" s="1">
        <v>165.71</v>
      </c>
      <c r="JA43" s="1">
        <v>167.357</v>
      </c>
      <c r="JB43" s="1"/>
      <c r="JC43" s="1"/>
    </row>
    <row r="44" spans="1:264" x14ac:dyDescent="0.25">
      <c r="A44" s="4"/>
      <c r="G44" s="3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</row>
    <row r="45" spans="1:264" x14ac:dyDescent="0.25">
      <c r="A45" s="4" t="s">
        <v>71</v>
      </c>
      <c r="B45" t="s">
        <v>70</v>
      </c>
      <c r="D45" t="s">
        <v>68</v>
      </c>
      <c r="G45" s="3">
        <f ca="1">_xll.BDH(A45&amp;" corp",D45,TODAY()-365,TODAY(),"dir=h","dates=h","sort=r","fill=-","cols=253;rows=1")</f>
        <v>52.741999999999997</v>
      </c>
      <c r="H45" s="1">
        <v>53.534999999999997</v>
      </c>
      <c r="I45" s="1">
        <v>55.930999999999997</v>
      </c>
      <c r="J45" s="1">
        <v>53.826000000000001</v>
      </c>
      <c r="K45" s="1">
        <v>51.978000000000002</v>
      </c>
      <c r="L45" s="1">
        <v>50.761000000000003</v>
      </c>
      <c r="M45" s="1">
        <v>51.991999999999997</v>
      </c>
      <c r="N45" s="1">
        <v>54.115000000000002</v>
      </c>
      <c r="O45" s="1">
        <v>53.319000000000003</v>
      </c>
      <c r="P45" s="1">
        <v>54.597000000000001</v>
      </c>
      <c r="Q45" s="1">
        <v>56.695999999999998</v>
      </c>
      <c r="R45" s="1">
        <v>58.463999999999999</v>
      </c>
      <c r="S45" s="1">
        <v>59.087000000000003</v>
      </c>
      <c r="T45" s="1">
        <v>59.561999999999998</v>
      </c>
      <c r="U45" s="1">
        <v>60.688000000000002</v>
      </c>
      <c r="V45" s="1">
        <v>59.715000000000003</v>
      </c>
      <c r="W45" s="1">
        <v>62.204000000000001</v>
      </c>
      <c r="X45" s="1">
        <v>61.155999999999999</v>
      </c>
      <c r="Y45" s="1">
        <v>58.555</v>
      </c>
      <c r="Z45" s="1">
        <v>57.972000000000001</v>
      </c>
      <c r="AA45" s="1">
        <v>57.347999999999999</v>
      </c>
      <c r="AB45" s="1">
        <v>55.393000000000001</v>
      </c>
      <c r="AC45" s="1">
        <v>54.844999999999999</v>
      </c>
      <c r="AD45" s="1">
        <v>53.665999999999997</v>
      </c>
      <c r="AE45" s="1">
        <v>54.081000000000003</v>
      </c>
      <c r="AF45" s="1">
        <v>54.555999999999997</v>
      </c>
      <c r="AG45" s="1">
        <v>55.41</v>
      </c>
      <c r="AH45" s="1">
        <v>54.478999999999999</v>
      </c>
      <c r="AI45" s="1">
        <v>53.317999999999998</v>
      </c>
      <c r="AJ45" s="1">
        <v>53.798999999999999</v>
      </c>
      <c r="AK45" s="1">
        <v>52.814</v>
      </c>
      <c r="AL45" s="1">
        <v>52.774999999999999</v>
      </c>
      <c r="AM45" s="1">
        <v>52</v>
      </c>
      <c r="AN45" s="1">
        <v>50.344000000000001</v>
      </c>
      <c r="AO45" s="1">
        <v>51.848999999999997</v>
      </c>
      <c r="AP45" s="1">
        <v>54.335000000000001</v>
      </c>
      <c r="AQ45" s="1">
        <v>53.91</v>
      </c>
      <c r="AR45" s="1">
        <v>54.024999999999999</v>
      </c>
      <c r="AS45" s="1">
        <v>54.814</v>
      </c>
      <c r="AT45" s="1">
        <v>53.795999999999999</v>
      </c>
      <c r="AU45" s="1">
        <v>54.817</v>
      </c>
      <c r="AV45" s="1">
        <v>56.136000000000003</v>
      </c>
      <c r="AW45" s="1">
        <v>54.78</v>
      </c>
      <c r="AX45" s="1">
        <v>54.511000000000003</v>
      </c>
      <c r="AY45" s="1">
        <v>54.238</v>
      </c>
      <c r="AZ45" s="1">
        <v>54.475999999999999</v>
      </c>
      <c r="BA45" s="1">
        <v>52.988999999999997</v>
      </c>
      <c r="BB45" s="1">
        <v>52.332999999999998</v>
      </c>
      <c r="BC45" s="1">
        <v>52.795000000000002</v>
      </c>
      <c r="BD45" s="1">
        <v>54.37</v>
      </c>
      <c r="BE45" s="1">
        <v>54.323</v>
      </c>
      <c r="BF45" s="1">
        <v>55.466000000000001</v>
      </c>
      <c r="BG45" s="1">
        <v>55.473999999999997</v>
      </c>
      <c r="BH45" s="1">
        <v>56.823999999999998</v>
      </c>
      <c r="BI45" s="1">
        <v>57.798999999999999</v>
      </c>
      <c r="BJ45" s="1">
        <v>60.686</v>
      </c>
      <c r="BK45" s="1">
        <v>60.966000000000001</v>
      </c>
      <c r="BL45" s="1">
        <v>59.296999999999997</v>
      </c>
      <c r="BM45" s="1">
        <v>60.337000000000003</v>
      </c>
      <c r="BN45" s="1">
        <v>59.786999999999999</v>
      </c>
      <c r="BO45" s="1">
        <v>58.207999999999998</v>
      </c>
      <c r="BP45" s="1">
        <v>57.866</v>
      </c>
      <c r="BQ45" s="1">
        <v>58.115000000000002</v>
      </c>
      <c r="BR45" s="1">
        <v>57.723999999999997</v>
      </c>
      <c r="BS45" s="1">
        <v>58.587000000000003</v>
      </c>
      <c r="BT45" s="1">
        <v>61.865000000000002</v>
      </c>
      <c r="BU45" s="1">
        <v>61.39</v>
      </c>
      <c r="BV45" s="1">
        <v>61.54</v>
      </c>
      <c r="BW45" s="1">
        <v>61.938000000000002</v>
      </c>
      <c r="BX45" s="1">
        <v>60.99</v>
      </c>
      <c r="BY45" s="1">
        <v>63.304000000000002</v>
      </c>
      <c r="BZ45" s="1">
        <v>63.375</v>
      </c>
      <c r="CA45" s="1">
        <v>62.66</v>
      </c>
      <c r="CB45" s="1">
        <v>62.58</v>
      </c>
      <c r="CC45" s="1">
        <v>61.320999999999998</v>
      </c>
      <c r="CD45" s="1">
        <v>63.954999999999998</v>
      </c>
      <c r="CE45" s="1">
        <v>63.98</v>
      </c>
      <c r="CF45" s="1">
        <v>65.075999999999993</v>
      </c>
      <c r="CG45" s="1">
        <v>66.563999999999993</v>
      </c>
      <c r="CH45" s="1">
        <v>70.38</v>
      </c>
      <c r="CI45" s="1">
        <v>71.77</v>
      </c>
      <c r="CJ45" s="1">
        <v>69.787000000000006</v>
      </c>
      <c r="CK45" s="1">
        <v>69.363</v>
      </c>
      <c r="CL45" s="1">
        <v>64.631</v>
      </c>
      <c r="CM45" s="1">
        <v>67.015000000000001</v>
      </c>
      <c r="CN45" s="1">
        <v>66.177000000000007</v>
      </c>
      <c r="CO45" s="1">
        <v>66.757000000000005</v>
      </c>
      <c r="CP45" s="1">
        <v>64.195999999999998</v>
      </c>
      <c r="CQ45" s="1">
        <v>64.968000000000004</v>
      </c>
      <c r="CR45" s="1">
        <v>70.533000000000001</v>
      </c>
      <c r="CS45" s="1">
        <v>69.369</v>
      </c>
      <c r="CT45" s="1">
        <v>71.257000000000005</v>
      </c>
      <c r="CU45" s="1">
        <v>67.197999999999993</v>
      </c>
      <c r="CV45" s="1">
        <v>65.516999999999996</v>
      </c>
      <c r="CW45" s="1">
        <v>61.204000000000001</v>
      </c>
      <c r="CX45" s="1">
        <v>58.405999999999999</v>
      </c>
      <c r="CY45" s="1">
        <v>63.59</v>
      </c>
      <c r="CZ45" s="1">
        <v>64.683999999999997</v>
      </c>
      <c r="DA45" s="1">
        <v>66.997</v>
      </c>
      <c r="DB45" s="1">
        <v>70.304000000000002</v>
      </c>
      <c r="DC45" s="1">
        <v>72.212999999999994</v>
      </c>
      <c r="DD45" s="1">
        <v>69.671000000000006</v>
      </c>
      <c r="DE45" s="1">
        <v>71.004999999999995</v>
      </c>
      <c r="DF45" s="1">
        <v>73.494</v>
      </c>
      <c r="DG45" s="1">
        <v>80.343999999999994</v>
      </c>
      <c r="DH45" s="1">
        <v>79.347999999999999</v>
      </c>
      <c r="DI45" s="1">
        <v>78.22</v>
      </c>
      <c r="DJ45" s="1">
        <v>82.031999999999996</v>
      </c>
      <c r="DK45" s="1">
        <v>83.837000000000003</v>
      </c>
      <c r="DL45" s="1">
        <v>90.221000000000004</v>
      </c>
      <c r="DM45" s="1">
        <v>90.48</v>
      </c>
      <c r="DN45" s="1">
        <v>88.201999999999998</v>
      </c>
      <c r="DO45" s="1">
        <v>83.834000000000003</v>
      </c>
      <c r="DP45" s="1">
        <v>84.346999999999994</v>
      </c>
      <c r="DQ45" s="1">
        <v>85.597999999999999</v>
      </c>
      <c r="DR45" s="1">
        <v>85.908000000000001</v>
      </c>
      <c r="DS45" s="1">
        <v>84.65</v>
      </c>
      <c r="DT45" s="1">
        <v>86.876000000000005</v>
      </c>
      <c r="DU45" s="1">
        <v>83.965000000000003</v>
      </c>
      <c r="DV45" s="1">
        <v>80.656999999999996</v>
      </c>
      <c r="DW45" s="1">
        <v>78.244</v>
      </c>
      <c r="DX45" s="1">
        <v>81.715999999999994</v>
      </c>
      <c r="DY45" s="1">
        <v>80.950999999999993</v>
      </c>
      <c r="DZ45" s="1">
        <v>84.206000000000003</v>
      </c>
      <c r="EA45" s="1">
        <v>81.826999999999998</v>
      </c>
      <c r="EB45" s="1">
        <v>84.918000000000006</v>
      </c>
      <c r="EC45" s="1">
        <v>91.733999999999995</v>
      </c>
      <c r="ED45" s="1">
        <v>84.691000000000003</v>
      </c>
      <c r="EE45" s="1">
        <v>82.146000000000001</v>
      </c>
      <c r="EF45" s="1">
        <v>84.736999999999995</v>
      </c>
      <c r="EG45" s="1">
        <v>85.051000000000002</v>
      </c>
      <c r="EH45" s="1">
        <v>76.998000000000005</v>
      </c>
      <c r="EI45" s="1">
        <v>80.075999999999993</v>
      </c>
      <c r="EJ45" s="1">
        <v>95.025999999999996</v>
      </c>
      <c r="EK45" s="1">
        <v>95.992000000000004</v>
      </c>
      <c r="EL45" s="1">
        <v>103.7</v>
      </c>
      <c r="EM45" s="1">
        <v>114.248</v>
      </c>
      <c r="EN45" s="1">
        <v>108.084</v>
      </c>
      <c r="EO45" s="1">
        <v>104.054</v>
      </c>
      <c r="EP45" s="1">
        <v>95.783000000000001</v>
      </c>
      <c r="EQ45" s="1">
        <v>97.88</v>
      </c>
      <c r="ER45" s="1">
        <v>94.474999999999994</v>
      </c>
      <c r="ES45" s="1">
        <v>84.492999999999995</v>
      </c>
      <c r="ET45" s="1">
        <v>88.83</v>
      </c>
      <c r="EU45" s="1">
        <v>97.994</v>
      </c>
      <c r="EV45" s="1">
        <v>114.181</v>
      </c>
      <c r="EW45" s="1">
        <v>117.407</v>
      </c>
      <c r="EX45" s="1">
        <v>117.23399999999999</v>
      </c>
      <c r="EY45" s="1">
        <v>138.54900000000001</v>
      </c>
      <c r="EZ45" s="1">
        <v>117.968</v>
      </c>
      <c r="FA45" s="1">
        <v>122.22799999999999</v>
      </c>
      <c r="FB45" s="1">
        <v>108.175</v>
      </c>
      <c r="FC45" s="1">
        <v>119.369</v>
      </c>
      <c r="FD45" s="1">
        <v>103.821</v>
      </c>
      <c r="FE45" s="1">
        <v>99.515000000000001</v>
      </c>
      <c r="FF45" s="1">
        <v>105.089</v>
      </c>
      <c r="FG45" s="1">
        <v>79.850999999999999</v>
      </c>
      <c r="FH45" s="1">
        <v>69.084999999999994</v>
      </c>
      <c r="FI45" s="1">
        <v>64.180999999999997</v>
      </c>
      <c r="FJ45" s="1">
        <v>62.253999999999998</v>
      </c>
      <c r="FK45" s="1">
        <v>66.900999999999996</v>
      </c>
      <c r="FL45" s="1">
        <v>64.414000000000001</v>
      </c>
      <c r="FM45" s="1">
        <v>56.204999999999998</v>
      </c>
      <c r="FN45" s="1">
        <v>51.862000000000002</v>
      </c>
      <c r="FO45" s="1">
        <v>50.348999999999997</v>
      </c>
      <c r="FP45" s="1">
        <v>48.018999999999998</v>
      </c>
      <c r="FQ45" s="1">
        <v>43.018999999999998</v>
      </c>
      <c r="FR45" s="1">
        <v>42.344999999999999</v>
      </c>
      <c r="FS45" s="1">
        <v>41.603999999999999</v>
      </c>
      <c r="FT45" s="1">
        <v>41.896000000000001</v>
      </c>
      <c r="FU45" s="1">
        <v>41.277000000000001</v>
      </c>
      <c r="FV45" s="1">
        <v>41.57</v>
      </c>
      <c r="FW45" s="1">
        <v>41.889000000000003</v>
      </c>
      <c r="FX45" s="1">
        <v>41.667000000000002</v>
      </c>
      <c r="FY45" s="1">
        <v>42.332999999999998</v>
      </c>
      <c r="FZ45" s="1">
        <v>42.936</v>
      </c>
      <c r="GA45" s="1">
        <v>43.593000000000004</v>
      </c>
      <c r="GB45" s="1">
        <v>42.87</v>
      </c>
      <c r="GC45" s="1">
        <v>43.133000000000003</v>
      </c>
      <c r="GD45" s="1">
        <v>43.927999999999997</v>
      </c>
      <c r="GE45" s="1">
        <v>46.017000000000003</v>
      </c>
      <c r="GF45" s="1">
        <v>46.234000000000002</v>
      </c>
      <c r="GG45" s="1">
        <v>45.673000000000002</v>
      </c>
      <c r="GH45" s="1">
        <v>44.786999999999999</v>
      </c>
      <c r="GI45" s="1">
        <v>44.715000000000003</v>
      </c>
      <c r="GJ45" s="1">
        <v>46.121000000000002</v>
      </c>
      <c r="GK45" s="1">
        <v>44.664000000000001</v>
      </c>
      <c r="GL45" s="1">
        <v>44.762999999999998</v>
      </c>
      <c r="GM45" s="1">
        <v>43.726999999999997</v>
      </c>
      <c r="GN45" s="1">
        <v>43.505000000000003</v>
      </c>
      <c r="GO45" s="1">
        <v>42.963999999999999</v>
      </c>
      <c r="GP45" s="1">
        <v>42.652999999999999</v>
      </c>
      <c r="GQ45" s="1">
        <v>43.277999999999999</v>
      </c>
      <c r="GR45" s="1">
        <v>43.415999999999997</v>
      </c>
      <c r="GS45" s="1">
        <v>43.534999999999997</v>
      </c>
      <c r="GT45" s="1">
        <v>43.201000000000001</v>
      </c>
      <c r="GU45" s="1">
        <v>43.170999999999999</v>
      </c>
      <c r="GV45" s="1">
        <v>42.981000000000002</v>
      </c>
      <c r="GW45" s="1">
        <v>43.494999999999997</v>
      </c>
      <c r="GX45" s="1">
        <v>44.633000000000003</v>
      </c>
      <c r="GY45" s="1">
        <v>44.911000000000001</v>
      </c>
      <c r="GZ45" s="1">
        <v>44.725999999999999</v>
      </c>
      <c r="HA45" s="1">
        <v>43.685000000000002</v>
      </c>
      <c r="HB45" s="1">
        <v>44.249000000000002</v>
      </c>
      <c r="HC45" s="1">
        <v>43.698999999999998</v>
      </c>
      <c r="HD45" s="1">
        <v>43.435000000000002</v>
      </c>
      <c r="HE45" s="1">
        <v>44.12</v>
      </c>
      <c r="HF45" s="1">
        <v>44.268999999999998</v>
      </c>
      <c r="HG45" s="1">
        <v>43.390999999999998</v>
      </c>
      <c r="HH45" s="1">
        <v>44.735999999999997</v>
      </c>
      <c r="HI45" s="1">
        <v>44.95</v>
      </c>
      <c r="HJ45" s="1">
        <v>45.124000000000002</v>
      </c>
      <c r="HK45" s="1">
        <v>45.026000000000003</v>
      </c>
      <c r="HL45" s="1">
        <v>46.249000000000002</v>
      </c>
      <c r="HM45" s="1">
        <v>47.249000000000002</v>
      </c>
      <c r="HN45" s="1">
        <v>47.392000000000003</v>
      </c>
      <c r="HO45" s="1">
        <v>47.286000000000001</v>
      </c>
      <c r="HP45" s="1">
        <v>47.502000000000002</v>
      </c>
      <c r="HQ45" s="1">
        <v>46.999000000000002</v>
      </c>
      <c r="HR45" s="1">
        <v>47.953000000000003</v>
      </c>
      <c r="HS45" s="1">
        <v>48.045000000000002</v>
      </c>
      <c r="HT45" s="1">
        <v>50.03</v>
      </c>
      <c r="HU45" s="1">
        <v>48.953000000000003</v>
      </c>
      <c r="HV45" s="1">
        <v>47.747999999999998</v>
      </c>
      <c r="HW45" s="1">
        <v>47.944000000000003</v>
      </c>
      <c r="HX45" s="1">
        <v>47.686999999999998</v>
      </c>
      <c r="HY45" s="1">
        <v>47.805</v>
      </c>
      <c r="HZ45" s="1">
        <v>48.152999999999999</v>
      </c>
      <c r="IA45" s="1">
        <v>49.734999999999999</v>
      </c>
      <c r="IB45" s="1">
        <v>49.789000000000001</v>
      </c>
      <c r="IC45" s="1">
        <v>49.988</v>
      </c>
      <c r="ID45" s="1">
        <v>49.332999999999998</v>
      </c>
      <c r="IE45" s="1">
        <v>48.546999999999997</v>
      </c>
      <c r="IF45" s="1">
        <v>48.860999999999997</v>
      </c>
      <c r="IG45" s="1">
        <v>50.109000000000002</v>
      </c>
      <c r="IH45" s="1">
        <v>49.402999999999999</v>
      </c>
      <c r="II45" s="1">
        <v>48.262</v>
      </c>
      <c r="IJ45" s="1">
        <v>48.56</v>
      </c>
      <c r="IK45" s="1">
        <v>48.811</v>
      </c>
      <c r="IL45" s="1">
        <v>48.749000000000002</v>
      </c>
      <c r="IM45" s="1">
        <v>49.531999999999996</v>
      </c>
      <c r="IN45" s="1">
        <v>48.561999999999998</v>
      </c>
      <c r="IO45" s="1">
        <v>48.654000000000003</v>
      </c>
      <c r="IP45" s="1">
        <v>50.335999999999999</v>
      </c>
      <c r="IQ45" s="1">
        <v>51.929000000000002</v>
      </c>
      <c r="IR45" s="1">
        <v>51.415999999999997</v>
      </c>
      <c r="IS45" s="1">
        <v>50.98</v>
      </c>
      <c r="IT45" s="1">
        <v>50.023000000000003</v>
      </c>
      <c r="IU45" s="1">
        <v>50.414999999999999</v>
      </c>
      <c r="IV45" s="1">
        <v>51.210999999999999</v>
      </c>
      <c r="IW45" s="1">
        <v>51.011000000000003</v>
      </c>
      <c r="IX45" s="1">
        <v>50.514000000000003</v>
      </c>
      <c r="IY45" s="1">
        <v>50.761000000000003</v>
      </c>
      <c r="IZ45" s="1"/>
      <c r="JA45" s="1"/>
      <c r="JB45" s="1"/>
      <c r="JC45" s="1"/>
    </row>
    <row r="46" spans="1:264" x14ac:dyDescent="0.25">
      <c r="A46" s="4"/>
      <c r="G46" s="3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</row>
    <row r="47" spans="1:264" x14ac:dyDescent="0.25">
      <c r="A47" s="4"/>
      <c r="G47" s="3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</row>
    <row r="48" spans="1:264" x14ac:dyDescent="0.25">
      <c r="A48" s="4"/>
      <c r="G48" s="3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</row>
    <row r="49" spans="1:264" x14ac:dyDescent="0.25">
      <c r="A49" s="4"/>
      <c r="G49" s="3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</row>
    <row r="50" spans="1:264" x14ac:dyDescent="0.25">
      <c r="A50" s="4"/>
      <c r="G50" s="3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</row>
    <row r="51" spans="1:264" x14ac:dyDescent="0.25">
      <c r="A51" s="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t="s">
        <v>45</v>
      </c>
    </row>
    <row r="52" spans="1:264" x14ac:dyDescent="0.25">
      <c r="JD52" t="s">
        <v>45</v>
      </c>
    </row>
    <row r="53" spans="1:264" x14ac:dyDescent="0.25">
      <c r="JD53" t="s">
        <v>45</v>
      </c>
    </row>
    <row r="54" spans="1:264" x14ac:dyDescent="0.25">
      <c r="JD54" t="s">
        <v>45</v>
      </c>
    </row>
    <row r="55" spans="1:264" x14ac:dyDescent="0.25">
      <c r="JD55" t="s">
        <v>45</v>
      </c>
    </row>
    <row r="56" spans="1:264" x14ac:dyDescent="0.25">
      <c r="JD56" t="s">
        <v>45</v>
      </c>
    </row>
    <row r="57" spans="1:264" x14ac:dyDescent="0.25">
      <c r="JD57" t="s">
        <v>45</v>
      </c>
    </row>
    <row r="58" spans="1:264" x14ac:dyDescent="0.25">
      <c r="JD58" t="s">
        <v>45</v>
      </c>
    </row>
    <row r="59" spans="1:264" x14ac:dyDescent="0.25">
      <c r="JD59" t="s">
        <v>45</v>
      </c>
    </row>
    <row r="60" spans="1:264" x14ac:dyDescent="0.25">
      <c r="JD60" t="s">
        <v>45</v>
      </c>
    </row>
    <row r="61" spans="1:264" x14ac:dyDescent="0.25">
      <c r="JD61" t="s">
        <v>45</v>
      </c>
    </row>
    <row r="62" spans="1:264" x14ac:dyDescent="0.25">
      <c r="JD62" t="s">
        <v>45</v>
      </c>
    </row>
    <row r="63" spans="1:264" x14ac:dyDescent="0.25">
      <c r="JD63" t="s">
        <v>45</v>
      </c>
    </row>
    <row r="64" spans="1:264" x14ac:dyDescent="0.25">
      <c r="JD64" t="s">
        <v>45</v>
      </c>
    </row>
    <row r="65" spans="264:264" x14ac:dyDescent="0.25">
      <c r="JD65" t="s">
        <v>45</v>
      </c>
    </row>
    <row r="66" spans="264:264" x14ac:dyDescent="0.25">
      <c r="JD66" t="s">
        <v>45</v>
      </c>
    </row>
    <row r="67" spans="264:264" x14ac:dyDescent="0.25">
      <c r="JD67" t="s">
        <v>45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comment</vt:lpstr>
      <vt:lpstr>examples of function</vt:lpstr>
      <vt:lpstr>historic data</vt:lpstr>
      <vt:lpstr>historic_data</vt:lpstr>
      <vt:lpstr>isin_list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darren</dc:creator>
  <cp:lastModifiedBy>Darren Lefcoe</cp:lastModifiedBy>
  <dcterms:created xsi:type="dcterms:W3CDTF">2020-10-19T07:49:38Z</dcterms:created>
  <dcterms:modified xsi:type="dcterms:W3CDTF">2020-10-19T16:24:43Z</dcterms:modified>
</cp:coreProperties>
</file>